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\\domstorage2\Workforce\Accounts\HCSC MedSup\Reports\EDB\2026\"/>
    </mc:Choice>
  </mc:AlternateContent>
  <xr:revisionPtr revIDLastSave="0" documentId="13_ncr:1_{457A5D0B-F55B-44BF-8B0A-97FD756A3B10}" xr6:coauthVersionLast="47" xr6:coauthVersionMax="47" xr10:uidLastSave="{00000000-0000-0000-0000-000000000000}"/>
  <bookViews>
    <workbookView xWindow="21480" yWindow="-120" windowWidth="24240" windowHeight="13020" xr2:uid="{00000000-000D-0000-FFFF-FFFF00000000}"/>
  </bookViews>
  <sheets>
    <sheet name="EDB" sheetId="1" r:id="rId1"/>
    <sheet name="EDB SUPS" sheetId="4" state="hidden" r:id="rId2"/>
    <sheet name="OPS Ditros" sheetId="3" state="hidden" r:id="rId3"/>
  </sheets>
  <externalReferences>
    <externalReference r:id="rId4"/>
  </externalReferences>
  <definedNames>
    <definedName name="_CurrentWeek" comment="Estimates first sunday of the current Week">TODAY()-WEEKDAY(TODAY(),1)+1</definedName>
    <definedName name="_xlnm._FilterDatabase" localSheetId="0" hidden="1">EDB!$A$1:$AB$39</definedName>
    <definedName name="_xlnm._FilterDatabase" localSheetId="2" hidden="1">'OPS Ditros'!$A$1:$G$51</definedName>
    <definedName name="ae">[1]Roster!#REF!</definedName>
    <definedName name="Agents">[1]!Table19[#All]</definedName>
    <definedName name="LOB">[1]APS!$B$3</definedName>
    <definedName name="Status">[1]APS!$B$2</definedName>
    <definedName name="Wave">[1]APS!$D$2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3" l="1"/>
  <c r="B3" i="3"/>
  <c r="C3" i="3"/>
  <c r="A4" i="3"/>
  <c r="B4" i="3"/>
  <c r="C4" i="3"/>
  <c r="A5" i="3"/>
  <c r="B5" i="3"/>
  <c r="C5" i="3"/>
  <c r="A6" i="3"/>
  <c r="B6" i="3" s="1"/>
  <c r="C6" i="3"/>
  <c r="A7" i="3"/>
  <c r="B7" i="3"/>
  <c r="C7" i="3"/>
  <c r="A8" i="3"/>
  <c r="B8" i="3"/>
  <c r="C8" i="3"/>
  <c r="A9" i="3"/>
  <c r="B9" i="3" s="1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A16" i="3"/>
  <c r="A17" i="3"/>
  <c r="B17" i="3"/>
  <c r="C17" i="3"/>
  <c r="A18" i="3"/>
  <c r="B18" i="3"/>
  <c r="C18" i="3"/>
  <c r="A19" i="3"/>
  <c r="B19" i="3"/>
  <c r="C19" i="3"/>
  <c r="A20" i="3"/>
  <c r="B20" i="3" s="1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A51" i="3"/>
  <c r="D41" i="3"/>
  <c r="D42" i="3"/>
  <c r="D43" i="3"/>
  <c r="D44" i="3"/>
  <c r="D45" i="3"/>
  <c r="D46" i="3"/>
  <c r="D47" i="3"/>
  <c r="D48" i="3"/>
  <c r="D49" i="3"/>
  <c r="D50" i="3"/>
  <c r="D51" i="3"/>
  <c r="A2" i="3"/>
  <c r="B15" i="3" l="1"/>
  <c r="C15" i="3"/>
  <c r="C16" i="3"/>
  <c r="B16" i="3"/>
  <c r="C50" i="3"/>
  <c r="B50" i="3"/>
  <c r="C51" i="3"/>
  <c r="B51" i="3"/>
  <c r="D9" i="3"/>
  <c r="D13" i="3"/>
  <c r="D17" i="3"/>
  <c r="D20" i="3"/>
  <c r="D21" i="3"/>
  <c r="D23" i="3"/>
  <c r="D24" i="3"/>
  <c r="D25" i="3"/>
  <c r="D28" i="3"/>
  <c r="D29" i="3"/>
  <c r="D31" i="3"/>
  <c r="D33" i="3"/>
  <c r="D35" i="3"/>
  <c r="D37" i="3"/>
  <c r="D38" i="3"/>
  <c r="D39" i="3"/>
  <c r="D6" i="3" l="1"/>
  <c r="D18" i="3"/>
  <c r="D30" i="3"/>
  <c r="D34" i="3"/>
  <c r="D4" i="3"/>
  <c r="D5" i="3"/>
  <c r="D10" i="3"/>
  <c r="D19" i="3"/>
  <c r="D26" i="3"/>
  <c r="D27" i="3"/>
  <c r="D40" i="3"/>
  <c r="D7" i="3"/>
  <c r="D8" i="3"/>
  <c r="D22" i="3"/>
  <c r="D32" i="3"/>
  <c r="D36" i="3"/>
  <c r="D14" i="3"/>
  <c r="D12" i="3"/>
  <c r="D15" i="3"/>
  <c r="D11" i="3"/>
  <c r="D16" i="3"/>
  <c r="D3" i="3"/>
  <c r="C2" i="3" l="1"/>
  <c r="D2" i="3" l="1"/>
  <c r="B2" i="3"/>
</calcChain>
</file>

<file path=xl/sharedStrings.xml><?xml version="1.0" encoding="utf-8"?>
<sst xmlns="http://schemas.openxmlformats.org/spreadsheetml/2006/main" count="835" uniqueCount="246">
  <si>
    <t>CCMS</t>
  </si>
  <si>
    <t>NT Login</t>
  </si>
  <si>
    <t>Wave</t>
  </si>
  <si>
    <t>Name</t>
  </si>
  <si>
    <t>LOB</t>
  </si>
  <si>
    <t>Sunday</t>
  </si>
  <si>
    <t>Monday</t>
  </si>
  <si>
    <t>Tuesday</t>
  </si>
  <si>
    <t>Wednesday</t>
  </si>
  <si>
    <t>Thursday</t>
  </si>
  <si>
    <t>Friday</t>
  </si>
  <si>
    <t>Saturday</t>
  </si>
  <si>
    <t>Tenure Bucket</t>
  </si>
  <si>
    <t>Countable Bucket</t>
  </si>
  <si>
    <t>Paid Weekly Hours</t>
  </si>
  <si>
    <t>Start</t>
  </si>
  <si>
    <t>End</t>
  </si>
  <si>
    <t>Client Email</t>
  </si>
  <si>
    <t>UID</t>
  </si>
  <si>
    <t>Extension</t>
  </si>
  <si>
    <t>Coach</t>
  </si>
  <si>
    <t>OPS Lead</t>
  </si>
  <si>
    <t>Site</t>
  </si>
  <si>
    <t>CCMS2</t>
  </si>
  <si>
    <t>Coach4</t>
  </si>
  <si>
    <t>OPS Lead5</t>
  </si>
  <si>
    <t>Location</t>
  </si>
  <si>
    <t>Team Lead</t>
  </si>
  <si>
    <t>Floor Manager</t>
  </si>
  <si>
    <t>Gonzalez, Jeremy</t>
  </si>
  <si>
    <t>B&amp;M</t>
  </si>
  <si>
    <t>Medicare</t>
  </si>
  <si>
    <t>OFF</t>
  </si>
  <si>
    <t>Rojas, Gerardo</t>
  </si>
  <si>
    <t>Estevez, Jael</t>
  </si>
  <si>
    <t>Feliz Diaz, Jordy R</t>
  </si>
  <si>
    <t>Baez Parra, Wanda</t>
  </si>
  <si>
    <t>Quezada, Alfredo</t>
  </si>
  <si>
    <t>jordyf.5</t>
  </si>
  <si>
    <t>baezparra.5</t>
  </si>
  <si>
    <t>quezadadiaz.6</t>
  </si>
  <si>
    <t>U455507</t>
  </si>
  <si>
    <t>U541496</t>
  </si>
  <si>
    <t>Alfredo_Quezada_Diaz@bcbsil.com</t>
  </si>
  <si>
    <t>Jordy_Feliz_Diaz@bcbsil.com</t>
  </si>
  <si>
    <t>U539573</t>
  </si>
  <si>
    <t>Wanda_Baez_Parra@bcbsil.com</t>
  </si>
  <si>
    <t>De Los Santos, Luis</t>
  </si>
  <si>
    <t>&gt;390</t>
  </si>
  <si>
    <t>rojasalmarante.5</t>
  </si>
  <si>
    <t>U539785</t>
  </si>
  <si>
    <t>Gerardo_Rojas_Almarante@bcbsil.com</t>
  </si>
  <si>
    <t>ramirezmejia.36</t>
  </si>
  <si>
    <t>U509557</t>
  </si>
  <si>
    <t>Kashmil_Ramirez_Mejia@bcbsil.com</t>
  </si>
  <si>
    <t>Ramirez, Kashmil</t>
  </si>
  <si>
    <t>fermindiaz.5</t>
  </si>
  <si>
    <t>U540402</t>
  </si>
  <si>
    <t>Edward_Fermin_Diaz@bcbsil.com</t>
  </si>
  <si>
    <t>Fermin, Edward</t>
  </si>
  <si>
    <t>mariam.41</t>
  </si>
  <si>
    <t>U540896</t>
  </si>
  <si>
    <t>Maria_Mateo@bcbsil.com</t>
  </si>
  <si>
    <t>Mateo, Maria</t>
  </si>
  <si>
    <t>joseg.6</t>
  </si>
  <si>
    <t>U532749</t>
  </si>
  <si>
    <t>Jose_Gonzalez_Garcia@bcbsil.com</t>
  </si>
  <si>
    <t>Gonzalez, Jose</t>
  </si>
  <si>
    <t>rosariobelliard.5</t>
  </si>
  <si>
    <t>U534964</t>
  </si>
  <si>
    <t>Cynthia_Rosario_Belliard@bcbsil.com</t>
  </si>
  <si>
    <t>Rosario, Cynthia</t>
  </si>
  <si>
    <t>jeanfrancois.18</t>
  </si>
  <si>
    <t>U533718</t>
  </si>
  <si>
    <t>Oldor_Jean_Francois@bcbsil.com</t>
  </si>
  <si>
    <t>Jean, Oldor</t>
  </si>
  <si>
    <t>freitespuello.5</t>
  </si>
  <si>
    <t>U540291</t>
  </si>
  <si>
    <t>Jasser_Freites_Puello@bcbsil.com</t>
  </si>
  <si>
    <t>Freites, Jasser</t>
  </si>
  <si>
    <t>bernardt.5</t>
  </si>
  <si>
    <t>U539584</t>
  </si>
  <si>
    <t>Bernard_Trinidad_Soto@bcbsil.com</t>
  </si>
  <si>
    <t>Trinidad, Bernard</t>
  </si>
  <si>
    <t>rafaell.8</t>
  </si>
  <si>
    <t>U534985</t>
  </si>
  <si>
    <t>Rafael_Lopez_Beato@bcbsil.com</t>
  </si>
  <si>
    <t>Lopez, Rafael</t>
  </si>
  <si>
    <t>aquinojerez.5</t>
  </si>
  <si>
    <t>U551343</t>
  </si>
  <si>
    <t>Ronal_Aquino_Jerez@bcbsil.com</t>
  </si>
  <si>
    <t>Aquino, Ronal</t>
  </si>
  <si>
    <t>abreupimentel.5</t>
  </si>
  <si>
    <t>U550665</t>
  </si>
  <si>
    <t>Benjamin_Abreu_Pimentel@bcbsil.com</t>
  </si>
  <si>
    <t>Abreu, Benjamin</t>
  </si>
  <si>
    <t>meranaquino.6</t>
  </si>
  <si>
    <t>U539455</t>
  </si>
  <si>
    <t>Yismeylin_Meran_Aquino@bcbsil.com</t>
  </si>
  <si>
    <t>Meran, Yismeylin</t>
  </si>
  <si>
    <t>pujolssenci.5</t>
  </si>
  <si>
    <t>U553947</t>
  </si>
  <si>
    <t>Engel_Pujols_Sencion@bcbsil.com</t>
  </si>
  <si>
    <t>Pujols, Engel</t>
  </si>
  <si>
    <t>hernandezmej.5</t>
  </si>
  <si>
    <t>U553943</t>
  </si>
  <si>
    <t>Albin_Hernandez_Mejia@bcbsil.com</t>
  </si>
  <si>
    <t>Hernandez, Albin</t>
  </si>
  <si>
    <t>keilar.5</t>
  </si>
  <si>
    <t>U541883</t>
  </si>
  <si>
    <t>Keila_Reyes_Lucas@bcbsil.com</t>
  </si>
  <si>
    <t>Reyes, Keila</t>
  </si>
  <si>
    <t>jerome.80</t>
  </si>
  <si>
    <t>U541878</t>
  </si>
  <si>
    <t>Guervens_Jerome@bcbsil.com</t>
  </si>
  <si>
    <t>Jerome, Guervens</t>
  </si>
  <si>
    <t>tolentinorosario.5</t>
  </si>
  <si>
    <t>U548199</t>
  </si>
  <si>
    <t>Nelson_Tolentino_Rosario@bcbsil.com</t>
  </si>
  <si>
    <t>Tolentino, Nelson</t>
  </si>
  <si>
    <t>ceballosperez.8</t>
  </si>
  <si>
    <t>U564895</t>
  </si>
  <si>
    <t>Soriel_Ceballos_Perez@bcbsil.com</t>
  </si>
  <si>
    <t>Ceballos, Soriel</t>
  </si>
  <si>
    <t>rachelg.5</t>
  </si>
  <si>
    <t>U542206</t>
  </si>
  <si>
    <t>Rachel_Guzman@bcbsil.com</t>
  </si>
  <si>
    <t>Guzman, Rachel</t>
  </si>
  <si>
    <t>campanapena.5</t>
  </si>
  <si>
    <t>U550366</t>
  </si>
  <si>
    <t>Willy_Campana_Pena@bcbsil.com</t>
  </si>
  <si>
    <t>Campaña, Willy</t>
  </si>
  <si>
    <t>berihuetedelac.5</t>
  </si>
  <si>
    <t>U570943</t>
  </si>
  <si>
    <t>Alexander_Berihuete_De_La_Cruz@bcbsil.com</t>
  </si>
  <si>
    <t>Berihuete, Alexander</t>
  </si>
  <si>
    <t>castillo.2372</t>
  </si>
  <si>
    <t>U563695</t>
  </si>
  <si>
    <t>Yasmin_Castillo@bcbsil.com</t>
  </si>
  <si>
    <t>Castillo, Yasmin</t>
  </si>
  <si>
    <t>mondelus.12</t>
  </si>
  <si>
    <t>U579281</t>
  </si>
  <si>
    <t>Castro_Mondelus@bcbsil.com</t>
  </si>
  <si>
    <t>Mondelus, Castro</t>
  </si>
  <si>
    <t>friascastro.7</t>
  </si>
  <si>
    <t>U579282</t>
  </si>
  <si>
    <t>Daniela_Frias_Castro@bcbsil.com</t>
  </si>
  <si>
    <t>Frias, Daniela</t>
  </si>
  <si>
    <t>sanchezmorel.8</t>
  </si>
  <si>
    <t>U579285</t>
  </si>
  <si>
    <t>Jeffrey_Sanchez_Morel@bcbsil.com</t>
  </si>
  <si>
    <t>Sanchez, Jeffrey</t>
  </si>
  <si>
    <t>silvestre.237</t>
  </si>
  <si>
    <t>U579286</t>
  </si>
  <si>
    <t>Jose_Silvestre@bcbsil.com</t>
  </si>
  <si>
    <t>Silvestre, Jose</t>
  </si>
  <si>
    <t>bonillabonilla.11</t>
  </si>
  <si>
    <t>U579287</t>
  </si>
  <si>
    <t>Starlin_Bonilla_Bonilla@bcbsil.com</t>
  </si>
  <si>
    <t>Bonilla, Starlin</t>
  </si>
  <si>
    <t>hernandezalcan.5</t>
  </si>
  <si>
    <t>U587081</t>
  </si>
  <si>
    <t>Ana_Hernandez_Alcantara@bcbsil.com</t>
  </si>
  <si>
    <t>Hernandez, Ana</t>
  </si>
  <si>
    <t>penafeliz.9</t>
  </si>
  <si>
    <t>U587093</t>
  </si>
  <si>
    <t>Aroa_Pena_Feliz@bcbsil.com</t>
  </si>
  <si>
    <t>Peña, Aroa</t>
  </si>
  <si>
    <t>alcantara.858</t>
  </si>
  <si>
    <t>U587062</t>
  </si>
  <si>
    <t>Viviana_Alcantara@bcbsil.com</t>
  </si>
  <si>
    <t>Alcantara, Viviana</t>
  </si>
  <si>
    <t>matosquezada.7</t>
  </si>
  <si>
    <t>U587097</t>
  </si>
  <si>
    <t>William_Matos_Quezada@bcbsil.com</t>
  </si>
  <si>
    <t>Matos, William</t>
  </si>
  <si>
    <t>canaanferry.5</t>
  </si>
  <si>
    <t>Canaan, Mia</t>
  </si>
  <si>
    <t>orbir.5</t>
  </si>
  <si>
    <t>Ramirez, Orbi</t>
  </si>
  <si>
    <t>luiss.17</t>
  </si>
  <si>
    <t>Suero, Luis</t>
  </si>
  <si>
    <t>araujo.2192</t>
  </si>
  <si>
    <t>U513065</t>
  </si>
  <si>
    <t>Alberto_Araujo@bcbsil.com</t>
  </si>
  <si>
    <t>Araujo, Alberto</t>
  </si>
  <si>
    <t>U454557</t>
  </si>
  <si>
    <t>Mia_Canaan_ferry@bcbsil.com</t>
  </si>
  <si>
    <t>U534721</t>
  </si>
  <si>
    <t>Orbi_Ramirez_Villegas@bcbsil.com</t>
  </si>
  <si>
    <t>U534715</t>
  </si>
  <si>
    <t>Luis_Suero_De_Jesus@bcbsil.com</t>
  </si>
  <si>
    <t>Quinones Melo, Juan</t>
  </si>
  <si>
    <t>ortizvasquez.19</t>
  </si>
  <si>
    <t>U551096</t>
  </si>
  <si>
    <t>Janovi_Ortiz_Vasquez@bcbsil.com</t>
  </si>
  <si>
    <t>Ortiz, Janovi</t>
  </si>
  <si>
    <t>&gt;300</t>
  </si>
  <si>
    <t>2009530006, 2009532791</t>
  </si>
  <si>
    <t>&gt;360</t>
  </si>
  <si>
    <t>tamares.20</t>
  </si>
  <si>
    <t>U600218</t>
  </si>
  <si>
    <t>Ambar_Tamares_Mejia@hcsc.com</t>
  </si>
  <si>
    <t>Tamares, Ambar</t>
  </si>
  <si>
    <t>Training</t>
  </si>
  <si>
    <t>&gt;30</t>
  </si>
  <si>
    <t>figueroah.17</t>
  </si>
  <si>
    <t>U600219</t>
  </si>
  <si>
    <t>Breny_Figueroa_Hilario@hcsc.com</t>
  </si>
  <si>
    <t>Figueroa, Breny</t>
  </si>
  <si>
    <t>cabreramedina.7</t>
  </si>
  <si>
    <t>U531256</t>
  </si>
  <si>
    <t>Eithan_Cabrera_Medina@bcbsil.com</t>
  </si>
  <si>
    <t>Cabrera, Eithan</t>
  </si>
  <si>
    <t>tejedaespinal.5</t>
  </si>
  <si>
    <t>U600220</t>
  </si>
  <si>
    <t>Esteban_Tejeda_Espinal@hcsc.com</t>
  </si>
  <si>
    <t>Tejeda, Esteban</t>
  </si>
  <si>
    <t>reynosobelen.5</t>
  </si>
  <si>
    <t>U600222</t>
  </si>
  <si>
    <t>Ilvania_Reynoso_Belen@hcsc.com</t>
  </si>
  <si>
    <t>Reynoso, Ilvania</t>
  </si>
  <si>
    <t>mobilf.5</t>
  </si>
  <si>
    <t>U563702</t>
  </si>
  <si>
    <t>Kelin_Mobil_Feliz@bcbsil.com</t>
  </si>
  <si>
    <t>Mobil, Kelin</t>
  </si>
  <si>
    <t>taverast.6</t>
  </si>
  <si>
    <t>U600223</t>
  </si>
  <si>
    <t>Luz_Taveras_Taveras@hcsc.com</t>
  </si>
  <si>
    <t>Taveras, Luz</t>
  </si>
  <si>
    <t>jimenez.1849</t>
  </si>
  <si>
    <t>U600224</t>
  </si>
  <si>
    <t>Paulina_Jimenez@hcsc.com</t>
  </si>
  <si>
    <t>Jimenez, Paulina</t>
  </si>
  <si>
    <t>lopez.5012</t>
  </si>
  <si>
    <t>U600225</t>
  </si>
  <si>
    <t>Phiama_Lopez@hcsc.com</t>
  </si>
  <si>
    <t>Lopez, Phiama</t>
  </si>
  <si>
    <t>celesten.5</t>
  </si>
  <si>
    <t>U600226</t>
  </si>
  <si>
    <t>Ruth_Celesten_Arjona@hcsc.com</t>
  </si>
  <si>
    <t>Celesten, Ruth</t>
  </si>
  <si>
    <t>desenaperez.5</t>
  </si>
  <si>
    <t>U600227</t>
  </si>
  <si>
    <t>Someri_De_Sena_Perez@hcsc.com</t>
  </si>
  <si>
    <t>De Sena, Someri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</si>
</sst>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409]h:mm\ AM/PM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C0DA"/>
        <bgColor rgb="FF000000"/>
      </patternFill>
    </fill>
    <fill>
      <patternFill patternType="solid">
        <fgColor rgb="FF4F6228"/>
        <bgColor rgb="FF000000"/>
      </patternFill>
    </fill>
    <fill>
      <patternFill patternType="solid">
        <fgColor rgb="FF0F243E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rgb="FF60497A"/>
      </left>
      <right style="thin">
        <color rgb="FF60497A"/>
      </right>
      <top style="thin">
        <color rgb="FF60497A"/>
      </top>
      <bottom/>
      <diagonal/>
    </border>
    <border>
      <left style="thin">
        <color rgb="FF60497A"/>
      </left>
      <right/>
      <top style="thin">
        <color rgb="FF60497A"/>
      </top>
      <bottom style="thin">
        <color rgb="FF60497A"/>
      </bottom>
      <diagonal/>
    </border>
    <border>
      <left/>
      <right style="thin">
        <color rgb="FF60497A"/>
      </right>
      <top style="thin">
        <color rgb="FF60497A"/>
      </top>
      <bottom style="thin">
        <color rgb="FF60497A"/>
      </bottom>
      <diagonal/>
    </border>
    <border>
      <left style="thin">
        <color rgb="FF60497A"/>
      </left>
      <right style="thin">
        <color rgb="FF60497A"/>
      </right>
      <top/>
      <bottom style="thin">
        <color rgb="FF60497A"/>
      </bottom>
      <diagonal/>
    </border>
    <border>
      <left style="thin">
        <color rgb="FF60497A"/>
      </left>
      <right style="thin">
        <color rgb="FF60497A"/>
      </right>
      <top style="thin">
        <color rgb="FF60497A"/>
      </top>
      <bottom style="thin">
        <color rgb="FF60497A"/>
      </bottom>
      <diagonal/>
    </border>
    <border>
      <left/>
      <right style="thin">
        <color rgb="FF60497A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3" fillId="5" borderId="5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3">
    <dxf>
      <numFmt numFmtId="0" formatCode="General"/>
      <fill>
        <patternFill>
          <bgColor rgb="FFC5D9F1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ont>
        <color rgb="FF403151"/>
      </font>
      <numFmt numFmtId="165" formatCode="[$-409]h:mm\ AM/PM;@"/>
      <fill>
        <patternFill>
          <bgColor rgb="FFF2DCDB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</border>
    </dxf>
    <dxf>
      <fill>
        <patternFill>
          <bgColor rgb="FFD9D9D9"/>
        </patternFill>
      </fill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ont>
        <color rgb="FF403151"/>
      </font>
      <numFmt numFmtId="165" formatCode="[$-409]h:mm\ AM/PM;@"/>
      <fill>
        <patternFill>
          <bgColor rgb="FFF2DCDB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</border>
    </dxf>
    <dxf>
      <fill>
        <patternFill>
          <bgColor rgb="FFD9D9D9"/>
        </patternFill>
      </fill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>
          <bgColor rgb="FFC5D9F1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ont>
        <color rgb="FF403151"/>
      </font>
      <numFmt numFmtId="165" formatCode="[$-409]h:mm\ AM/PM;@"/>
      <fill>
        <patternFill>
          <bgColor rgb="FFF2DCDB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</border>
    </dxf>
    <dxf>
      <fill>
        <patternFill>
          <bgColor rgb="FFD9D9D9"/>
        </patternFill>
      </fill>
    </dxf>
    <dxf>
      <fill>
        <patternFill patternType="none">
          <bgColor auto="1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numFmt numFmtId="0" formatCode="General"/>
      <fill>
        <patternFill>
          <bgColor rgb="FFEBF1DE"/>
        </patternFill>
      </fill>
      <border>
        <left style="thin">
          <color rgb="FF60497A"/>
        </left>
        <right style="thin">
          <color rgb="FF60497A"/>
        </right>
        <top style="thin">
          <color rgb="FF60497A"/>
        </top>
        <bottom style="thin">
          <color rgb="FF60497A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Florida%20Blue/Roster/Florida%20Blue%20Roster.xlsx" TargetMode="External"/><Relationship Id="rId1" Type="http://schemas.openxmlformats.org/officeDocument/2006/relationships/externalLinkPath" Target="/Accounts/Florida%20Blue/Roster/Florida%20Blue%20Ro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ffing updates"/>
      <sheetName val="EDB 2.0"/>
      <sheetName val="Staffing Update"/>
      <sheetName val="APS OPS"/>
      <sheetName val="Term Cumulative"/>
      <sheetName val="EDB (DLS)"/>
      <sheetName val="term requests"/>
      <sheetName val="Summary"/>
      <sheetName val="Proyection"/>
      <sheetName val="Chat Daily Info"/>
      <sheetName val="Daily Info"/>
      <sheetName val="Moved Out of Admin"/>
      <sheetName val="EDB DLS 2.0"/>
      <sheetName val="EDB"/>
      <sheetName val="Agregar Staff a Admin"/>
      <sheetName val="Admin"/>
      <sheetName val="Agregar Personas al Roster"/>
      <sheetName val="GFTEs"/>
      <sheetName val="Roster"/>
      <sheetName val="Term Check"/>
      <sheetName val="OPS Distro"/>
      <sheetName val="Weekly Global Roster Shared"/>
      <sheetName val="Moved out of Roster"/>
      <sheetName val="Terminations - Promotions"/>
      <sheetName val="Employee Information"/>
      <sheetName val="Weekly Global Roster"/>
      <sheetName val="Transfers"/>
      <sheetName val="Sheet1"/>
      <sheetName val="Ramp Plan NET FTE´s"/>
      <sheetName val="Ramp Down 2020"/>
      <sheetName val="New Hires"/>
      <sheetName val="Helper"/>
      <sheetName val="APS"/>
      <sheetName val="For Alerts for Display"/>
      <sheetName val="Projection"/>
      <sheetName val="FLB Credentials"/>
      <sheetName val="Instrument Numbers"/>
      <sheetName val="BCBSFL Email Addresses"/>
      <sheetName val="Comparar CCMS vs Distro"/>
      <sheetName val="Roster before waha"/>
      <sheetName val="Break Block"/>
      <sheetName val="Audit"/>
      <sheetName val="Florida Blue Roster"/>
      <sheetName val="Sheet2"/>
      <sheetName val="Unsched. Staff"/>
      <sheetName val="Roster (2)"/>
      <sheetName val="Chat Summer Returns"/>
      <sheetName val="Control"/>
      <sheetName val="Summary2"/>
      <sheetName val="SummerJOB Agents"/>
      <sheetName val="Consolidated Master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">
          <cell r="B7" t="str">
            <v>CCMS ID</v>
          </cell>
        </row>
      </sheetData>
      <sheetData sheetId="16"/>
      <sheetData sheetId="17"/>
      <sheetData sheetId="18">
        <row r="1">
          <cell r="C1" t="str">
            <v>Payroll ID</v>
          </cell>
        </row>
      </sheetData>
      <sheetData sheetId="19">
        <row r="1">
          <cell r="H1" t="str">
            <v>Approved</v>
          </cell>
        </row>
      </sheetData>
      <sheetData sheetId="20">
        <row r="1">
          <cell r="A1" t="str">
            <v>Ident</v>
          </cell>
        </row>
      </sheetData>
      <sheetData sheetId="21"/>
      <sheetData sheetId="22"/>
      <sheetData sheetId="23"/>
      <sheetData sheetId="24">
        <row r="1">
          <cell r="A1" t="str">
            <v>Ident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B2" t="str">
            <v>All</v>
          </cell>
          <cell r="D2" t="str">
            <v>All</v>
          </cell>
        </row>
        <row r="3">
          <cell r="B3" t="str">
            <v>All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9A3D85-046B-44B1-836B-A49FEE004719}" name="Table2" displayName="Table2" ref="A1:G51" totalsRowShown="0" headerRowDxfId="32" dataDxfId="31">
  <autoFilter ref="A1:G51" xr:uid="{CB9A3D85-046B-44B1-836B-A49FEE004719}">
    <filterColumn colId="0">
      <filters>
        <filter val="4282011"/>
        <filter val="4728904"/>
        <filter val="4743755"/>
        <filter val="4804998"/>
        <filter val="4968570"/>
        <filter val="5031839"/>
        <filter val="5091033"/>
        <filter val="5146060"/>
        <filter val="5160543"/>
        <filter val="5160547"/>
        <filter val="5169971"/>
        <filter val="5207891"/>
        <filter val="5268201"/>
        <filter val="5270083"/>
        <filter val="5272864"/>
        <filter val="5301084"/>
        <filter val="5306249"/>
        <filter val="5314877"/>
        <filter val="5318603"/>
        <filter val="5329714"/>
        <filter val="5527739"/>
        <filter val="5613524"/>
        <filter val="5621073"/>
        <filter val="5632947"/>
        <filter val="5638529"/>
        <filter val="5682324"/>
        <filter val="5691556"/>
        <filter val="5691560"/>
        <filter val="5842851"/>
        <filter val="5874439"/>
        <filter val="6001392"/>
        <filter val="6166689"/>
        <filter val="6168102"/>
        <filter val="6168242"/>
        <filter val="6168253"/>
        <filter val="6168271"/>
        <filter val="6210804"/>
        <filter val="6210805"/>
        <filter val="6210816"/>
        <filter val="6210817"/>
        <filter val="6509285"/>
        <filter val="6509287"/>
        <filter val="6511279"/>
        <filter val="6511345"/>
        <filter val="6511512"/>
        <filter val="6511605"/>
        <filter val="6511609"/>
        <filter val="6513519"/>
      </filters>
    </filterColumn>
  </autoFilter>
  <tableColumns count="7">
    <tableColumn id="1" xr3:uid="{E3877FC5-4E59-47A4-8371-329D0348203D}" name="CCMS" dataDxfId="30">
      <calculatedColumnFormula>EDB!A3</calculatedColumnFormula>
    </tableColumn>
    <tableColumn id="2" xr3:uid="{29277AD5-74E2-404A-A34A-7AA800D0724F}" name="Coach" dataDxfId="29">
      <calculatedColumnFormula>INDEX(F:F,MATCH(Table2[[#This Row],[CCMS]],E:E,0))</calculatedColumnFormula>
    </tableColumn>
    <tableColumn id="3" xr3:uid="{E0BB6E59-DE79-4740-8689-429D063F1CE9}" name="OPS Lead" dataDxfId="28">
      <calculatedColumnFormula>INDEX(G:G,MATCH(Table2[[#This Row],[CCMS]],E:E,0))</calculatedColumnFormula>
    </tableColumn>
    <tableColumn id="9" xr3:uid="{C6C72E07-3A7E-4118-85A4-70C65F499989}" name="Site" dataDxfId="27">
      <calculatedColumnFormula>INDEX(#REF!,MATCH(Table2[[#This Row],[CCMS]],E:E,0))</calculatedColumnFormula>
    </tableColumn>
    <tableColumn id="5" xr3:uid="{50F42432-F463-4D00-90CA-7E74C5F1375A}" name="CCMS2" dataDxfId="26"/>
    <tableColumn id="7" xr3:uid="{28BD39A0-18AF-4143-8717-B78BFF0FCB8F}" name="Coach4" dataDxfId="25"/>
    <tableColumn id="8" xr3:uid="{F4FE23CD-5AD7-4A8C-A11C-BD5A6670D08B}" name="OPS Lead5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</sheetPr>
  <dimension ref="A1:AB50"/>
  <sheetViews>
    <sheetView showGridLines="0" tabSelected="1" zoomScale="70" zoomScaleNormal="70" workbookViewId="0">
      <selection activeCell="D20" sqref="D20"/>
    </sheetView>
  </sheetViews>
  <sheetFormatPr defaultRowHeight="15" x14ac:dyDescent="0.25"/>
  <cols>
    <col min="1" max="1" width="18" style="2" customWidth="1"/>
    <col min="2" max="2" width="22" bestFit="1" customWidth="1"/>
    <col min="3" max="3" width="15" bestFit="1" customWidth="1"/>
    <col min="4" max="4" width="55" style="2" bestFit="1" customWidth="1"/>
    <col min="5" max="5" width="22" style="2" bestFit="1" customWidth="1"/>
    <col min="6" max="6" width="16.7109375" style="2" bestFit="1" customWidth="1"/>
    <col min="7" max="7" width="26.85546875" bestFit="1" customWidth="1"/>
    <col min="8" max="8" width="20.7109375" bestFit="1" customWidth="1"/>
    <col min="9" max="10" width="33.140625" bestFit="1" customWidth="1"/>
    <col min="11" max="11" width="15.42578125" customWidth="1"/>
    <col min="12" max="12" width="8.140625" style="3" bestFit="1" customWidth="1"/>
    <col min="13" max="13" width="8.85546875" style="3" bestFit="1" customWidth="1"/>
    <col min="14" max="14" width="11" style="3" bestFit="1" customWidth="1"/>
    <col min="15" max="15" width="10.85546875" style="3" bestFit="1" customWidth="1"/>
    <col min="16" max="16" width="11" style="3" customWidth="1"/>
    <col min="17" max="17" width="10.85546875" style="3" bestFit="1" customWidth="1"/>
    <col min="18" max="18" width="11" style="3" customWidth="1"/>
    <col min="19" max="19" width="10.85546875" style="3" bestFit="1" customWidth="1"/>
    <col min="20" max="20" width="11" style="3" bestFit="1" customWidth="1"/>
    <col min="21" max="21" width="10.85546875" style="3" bestFit="1" customWidth="1"/>
    <col min="22" max="22" width="11" style="3" bestFit="1" customWidth="1"/>
    <col min="23" max="23" width="10.85546875" style="3" bestFit="1" customWidth="1"/>
    <col min="24" max="24" width="11" style="3" bestFit="1" customWidth="1"/>
    <col min="25" max="25" width="10.5703125" style="3" bestFit="1" customWidth="1"/>
    <col min="26" max="26" width="31.85546875" bestFit="1" customWidth="1"/>
    <col min="27" max="27" width="27.42578125" style="2" bestFit="1" customWidth="1"/>
    <col min="28" max="28" width="32.85546875" bestFit="1" customWidth="1"/>
  </cols>
  <sheetData>
    <row r="1" spans="1:28" x14ac:dyDescent="0.25">
      <c r="A1" s="22" t="s">
        <v>0</v>
      </c>
      <c r="B1" s="22" t="s">
        <v>1</v>
      </c>
      <c r="C1" s="22" t="s">
        <v>18</v>
      </c>
      <c r="D1" s="22" t="s">
        <v>17</v>
      </c>
      <c r="E1" s="22" t="s">
        <v>19</v>
      </c>
      <c r="F1" s="22" t="s">
        <v>2</v>
      </c>
      <c r="G1" s="22" t="s">
        <v>3</v>
      </c>
      <c r="H1" s="24" t="s">
        <v>26</v>
      </c>
      <c r="I1" s="22" t="s">
        <v>27</v>
      </c>
      <c r="J1" s="22" t="s">
        <v>28</v>
      </c>
      <c r="K1" s="22" t="s">
        <v>4</v>
      </c>
      <c r="L1" s="20" t="s">
        <v>5</v>
      </c>
      <c r="M1" s="21"/>
      <c r="N1" s="20" t="s">
        <v>6</v>
      </c>
      <c r="O1" s="21"/>
      <c r="P1" s="20" t="s">
        <v>7</v>
      </c>
      <c r="Q1" s="21"/>
      <c r="R1" s="20" t="s">
        <v>8</v>
      </c>
      <c r="S1" s="21"/>
      <c r="T1" s="20" t="s">
        <v>9</v>
      </c>
      <c r="U1" s="21"/>
      <c r="V1" s="20" t="s">
        <v>10</v>
      </c>
      <c r="W1" s="21"/>
      <c r="X1" s="20" t="s">
        <v>11</v>
      </c>
      <c r="Y1" s="21"/>
      <c r="Z1" s="25" t="s">
        <v>13</v>
      </c>
      <c r="AA1" s="22" t="s">
        <v>12</v>
      </c>
      <c r="AB1" s="22" t="s">
        <v>14</v>
      </c>
    </row>
    <row r="2" spans="1:28" x14ac:dyDescent="0.25">
      <c r="A2" s="23"/>
      <c r="B2" s="23"/>
      <c r="C2" s="23"/>
      <c r="D2" s="23"/>
      <c r="E2" s="23"/>
      <c r="F2" s="23"/>
      <c r="G2" s="23"/>
      <c r="H2" s="24"/>
      <c r="I2" s="23"/>
      <c r="J2" s="23"/>
      <c r="K2" s="23"/>
      <c r="L2" s="4" t="s">
        <v>15</v>
      </c>
      <c r="M2" s="4" t="s">
        <v>16</v>
      </c>
      <c r="N2" s="4" t="s">
        <v>15</v>
      </c>
      <c r="O2" s="4" t="s">
        <v>16</v>
      </c>
      <c r="P2" s="4" t="s">
        <v>15</v>
      </c>
      <c r="Q2" s="4" t="s">
        <v>16</v>
      </c>
      <c r="R2" s="4" t="s">
        <v>15</v>
      </c>
      <c r="S2" s="4" t="s">
        <v>16</v>
      </c>
      <c r="T2" s="4" t="s">
        <v>15</v>
      </c>
      <c r="U2" s="4" t="s">
        <v>16</v>
      </c>
      <c r="V2" s="4" t="s">
        <v>15</v>
      </c>
      <c r="W2" s="4" t="s">
        <v>16</v>
      </c>
      <c r="X2" s="4" t="s">
        <v>15</v>
      </c>
      <c r="Y2" s="4" t="s">
        <v>16</v>
      </c>
      <c r="Z2" s="26"/>
      <c r="AA2" s="23"/>
      <c r="AB2" s="23"/>
    </row>
    <row r="3" spans="1:28" ht="15" customHeight="1" x14ac:dyDescent="0.25">
      <c r="A3" s="16">
        <v>5268201</v>
      </c>
      <c r="B3" s="16" t="s">
        <v>49</v>
      </c>
      <c r="C3" s="16" t="s">
        <v>50</v>
      </c>
      <c r="D3" s="17" t="s">
        <v>51</v>
      </c>
      <c r="E3" s="18">
        <v>2009531665</v>
      </c>
      <c r="F3" s="18">
        <v>1</v>
      </c>
      <c r="G3" s="16" t="s">
        <v>33</v>
      </c>
      <c r="H3" s="15" t="s">
        <v>30</v>
      </c>
      <c r="I3" s="16" t="s">
        <v>35</v>
      </c>
      <c r="J3" s="15" t="s">
        <v>37</v>
      </c>
      <c r="K3" s="15" t="s">
        <v>31</v>
      </c>
      <c r="L3" s="19" t="s">
        <v>32</v>
      </c>
      <c r="M3" s="19" t="s">
        <v>32</v>
      </c>
      <c r="N3" s="19">
        <v>0.41666666666666669</v>
      </c>
      <c r="O3" s="19">
        <v>0.79166666666666663</v>
      </c>
      <c r="P3" s="19">
        <v>0.41666666666666669</v>
      </c>
      <c r="Q3" s="19">
        <v>0.79166666666666663</v>
      </c>
      <c r="R3" s="19">
        <v>0.41666666666666669</v>
      </c>
      <c r="S3" s="19">
        <v>0.79166666666666663</v>
      </c>
      <c r="T3" s="19">
        <v>0.41666666666666669</v>
      </c>
      <c r="U3" s="19">
        <v>0.79166666666666663</v>
      </c>
      <c r="V3" s="19">
        <v>0.41666666666666669</v>
      </c>
      <c r="W3" s="19">
        <v>0.79166666666666663</v>
      </c>
      <c r="X3" s="19" t="s">
        <v>32</v>
      </c>
      <c r="Y3" s="19" t="s">
        <v>32</v>
      </c>
      <c r="Z3" s="5">
        <v>1104</v>
      </c>
      <c r="AA3" s="6" t="s">
        <v>48</v>
      </c>
      <c r="AB3" s="14">
        <v>42.499999999999993</v>
      </c>
    </row>
    <row r="4" spans="1:28" ht="15" customHeight="1" x14ac:dyDescent="0.25">
      <c r="A4" s="16">
        <v>4968570</v>
      </c>
      <c r="B4" s="16" t="s">
        <v>52</v>
      </c>
      <c r="C4" s="16" t="s">
        <v>53</v>
      </c>
      <c r="D4" s="17" t="s">
        <v>54</v>
      </c>
      <c r="E4" s="18">
        <v>2009531160</v>
      </c>
      <c r="F4" s="18">
        <v>1</v>
      </c>
      <c r="G4" s="16" t="s">
        <v>55</v>
      </c>
      <c r="H4" s="15" t="s">
        <v>30</v>
      </c>
      <c r="I4" s="16" t="s">
        <v>35</v>
      </c>
      <c r="J4" s="15" t="s">
        <v>37</v>
      </c>
      <c r="K4" s="15" t="s">
        <v>31</v>
      </c>
      <c r="L4" s="19" t="s">
        <v>32</v>
      </c>
      <c r="M4" s="19" t="s">
        <v>32</v>
      </c>
      <c r="N4" s="19">
        <v>0.33333333333333331</v>
      </c>
      <c r="O4" s="19">
        <v>0.70833333333333337</v>
      </c>
      <c r="P4" s="19">
        <v>0.33333333333333331</v>
      </c>
      <c r="Q4" s="19">
        <v>0.70833333333333337</v>
      </c>
      <c r="R4" s="19">
        <v>0.33333333333333331</v>
      </c>
      <c r="S4" s="19">
        <v>0.70833333333333337</v>
      </c>
      <c r="T4" s="19">
        <v>0.33333333333333331</v>
      </c>
      <c r="U4" s="19">
        <v>0.70833333333333337</v>
      </c>
      <c r="V4" s="19">
        <v>0.33333333333333331</v>
      </c>
      <c r="W4" s="19">
        <v>0.70833333333333337</v>
      </c>
      <c r="X4" s="19" t="s">
        <v>32</v>
      </c>
      <c r="Y4" s="19" t="s">
        <v>32</v>
      </c>
      <c r="Z4" s="5">
        <v>1127</v>
      </c>
      <c r="AA4" s="6" t="s">
        <v>48</v>
      </c>
      <c r="AB4" s="14">
        <v>42.500000000000007</v>
      </c>
    </row>
    <row r="5" spans="1:28" ht="15" customHeight="1" x14ac:dyDescent="0.25">
      <c r="A5" s="16">
        <v>5301084</v>
      </c>
      <c r="B5" s="16" t="s">
        <v>56</v>
      </c>
      <c r="C5" s="16" t="s">
        <v>57</v>
      </c>
      <c r="D5" s="17" t="s">
        <v>58</v>
      </c>
      <c r="E5" s="18">
        <v>2009530440</v>
      </c>
      <c r="F5" s="18">
        <v>2</v>
      </c>
      <c r="G5" s="16" t="s">
        <v>59</v>
      </c>
      <c r="H5" s="15" t="s">
        <v>30</v>
      </c>
      <c r="I5" s="16" t="s">
        <v>36</v>
      </c>
      <c r="J5" s="15" t="s">
        <v>37</v>
      </c>
      <c r="K5" s="15" t="s">
        <v>31</v>
      </c>
      <c r="L5" s="19" t="s">
        <v>32</v>
      </c>
      <c r="M5" s="19" t="s">
        <v>32</v>
      </c>
      <c r="N5" s="19">
        <v>0.33333333333333331</v>
      </c>
      <c r="O5" s="19">
        <v>0.66666666666666663</v>
      </c>
      <c r="P5" s="19">
        <v>0.33333333333333331</v>
      </c>
      <c r="Q5" s="19">
        <v>0.70833333333333337</v>
      </c>
      <c r="R5" s="19">
        <v>0.33333333333333331</v>
      </c>
      <c r="S5" s="19">
        <v>0.66666666666666663</v>
      </c>
      <c r="T5" s="19">
        <v>0.33333333333333331</v>
      </c>
      <c r="U5" s="19">
        <v>0.70833333333333337</v>
      </c>
      <c r="V5" s="19">
        <v>0.33333333333333331</v>
      </c>
      <c r="W5" s="19">
        <v>0.70833333333333337</v>
      </c>
      <c r="X5" s="19" t="s">
        <v>32</v>
      </c>
      <c r="Y5" s="19" t="s">
        <v>32</v>
      </c>
      <c r="Z5" s="5">
        <v>1071</v>
      </c>
      <c r="AA5" s="6" t="s">
        <v>48</v>
      </c>
      <c r="AB5" s="14">
        <v>40.500000000000007</v>
      </c>
    </row>
    <row r="6" spans="1:28" ht="15" customHeight="1" x14ac:dyDescent="0.25">
      <c r="A6" s="16">
        <v>5306249</v>
      </c>
      <c r="B6" s="16" t="s">
        <v>60</v>
      </c>
      <c r="C6" s="16" t="s">
        <v>61</v>
      </c>
      <c r="D6" s="17" t="s">
        <v>62</v>
      </c>
      <c r="E6" s="18">
        <v>2009532431</v>
      </c>
      <c r="F6" s="18">
        <v>2</v>
      </c>
      <c r="G6" s="16" t="s">
        <v>63</v>
      </c>
      <c r="H6" s="15" t="s">
        <v>30</v>
      </c>
      <c r="I6" s="16" t="s">
        <v>192</v>
      </c>
      <c r="J6" s="15" t="s">
        <v>37</v>
      </c>
      <c r="K6" s="15" t="s">
        <v>31</v>
      </c>
      <c r="L6" s="19" t="s">
        <v>32</v>
      </c>
      <c r="M6" s="19" t="s">
        <v>32</v>
      </c>
      <c r="N6" s="19">
        <v>0.375</v>
      </c>
      <c r="O6" s="19">
        <v>0.75</v>
      </c>
      <c r="P6" s="19">
        <v>0.375</v>
      </c>
      <c r="Q6" s="19">
        <v>0.75</v>
      </c>
      <c r="R6" s="19">
        <v>0.375</v>
      </c>
      <c r="S6" s="19">
        <v>0.75</v>
      </c>
      <c r="T6" s="19">
        <v>0.375</v>
      </c>
      <c r="U6" s="19">
        <v>0.75</v>
      </c>
      <c r="V6" s="19">
        <v>0.375</v>
      </c>
      <c r="W6" s="19">
        <v>0.75</v>
      </c>
      <c r="X6" s="19" t="s">
        <v>32</v>
      </c>
      <c r="Y6" s="19" t="s">
        <v>32</v>
      </c>
      <c r="Z6" s="5">
        <v>1064</v>
      </c>
      <c r="AA6" s="6" t="s">
        <v>48</v>
      </c>
      <c r="AB6" s="14">
        <v>42.5</v>
      </c>
    </row>
    <row r="7" spans="1:28" ht="15" customHeight="1" x14ac:dyDescent="0.25">
      <c r="A7" s="16">
        <v>5031839</v>
      </c>
      <c r="B7" s="16" t="s">
        <v>64</v>
      </c>
      <c r="C7" s="16" t="s">
        <v>65</v>
      </c>
      <c r="D7" s="17" t="s">
        <v>66</v>
      </c>
      <c r="E7" s="18">
        <v>2009530728</v>
      </c>
      <c r="F7" s="18">
        <v>2</v>
      </c>
      <c r="G7" s="16" t="s">
        <v>67</v>
      </c>
      <c r="H7" s="15" t="s">
        <v>30</v>
      </c>
      <c r="I7" s="16" t="s">
        <v>192</v>
      </c>
      <c r="J7" s="15" t="s">
        <v>37</v>
      </c>
      <c r="K7" s="15" t="s">
        <v>31</v>
      </c>
      <c r="L7" s="19" t="s">
        <v>32</v>
      </c>
      <c r="M7" s="19" t="s">
        <v>32</v>
      </c>
      <c r="N7" s="19">
        <v>0.375</v>
      </c>
      <c r="O7" s="19">
        <v>0.75</v>
      </c>
      <c r="P7" s="19">
        <v>0.375</v>
      </c>
      <c r="Q7" s="19">
        <v>0.75</v>
      </c>
      <c r="R7" s="19">
        <v>0.375</v>
      </c>
      <c r="S7" s="19">
        <v>0.75</v>
      </c>
      <c r="T7" s="19">
        <v>0.375</v>
      </c>
      <c r="U7" s="19">
        <v>0.75</v>
      </c>
      <c r="V7" s="19">
        <v>0.375</v>
      </c>
      <c r="W7" s="19">
        <v>0.75</v>
      </c>
      <c r="X7" s="19" t="s">
        <v>32</v>
      </c>
      <c r="Y7" s="19" t="s">
        <v>32</v>
      </c>
      <c r="Z7" s="5">
        <v>1349</v>
      </c>
      <c r="AA7" s="6" t="s">
        <v>48</v>
      </c>
      <c r="AB7" s="14">
        <v>42.5</v>
      </c>
    </row>
    <row r="8" spans="1:28" ht="15" customHeight="1" x14ac:dyDescent="0.25">
      <c r="A8" s="16">
        <v>4728904</v>
      </c>
      <c r="B8" s="16" t="s">
        <v>68</v>
      </c>
      <c r="C8" s="16" t="s">
        <v>69</v>
      </c>
      <c r="D8" s="17" t="s">
        <v>70</v>
      </c>
      <c r="E8" s="18">
        <v>2009531711</v>
      </c>
      <c r="F8" s="18">
        <v>2</v>
      </c>
      <c r="G8" s="16" t="s">
        <v>71</v>
      </c>
      <c r="H8" s="15" t="s">
        <v>30</v>
      </c>
      <c r="I8" s="16" t="s">
        <v>192</v>
      </c>
      <c r="J8" s="15" t="s">
        <v>37</v>
      </c>
      <c r="K8" s="15" t="s">
        <v>31</v>
      </c>
      <c r="L8" s="19" t="s">
        <v>32</v>
      </c>
      <c r="M8" s="19" t="s">
        <v>32</v>
      </c>
      <c r="N8" s="19">
        <v>0.33333333333333331</v>
      </c>
      <c r="O8" s="19">
        <v>0.70833333333333337</v>
      </c>
      <c r="P8" s="19">
        <v>0.41666666666666669</v>
      </c>
      <c r="Q8" s="19">
        <v>0.79166666666666663</v>
      </c>
      <c r="R8" s="19">
        <v>0.41666666666666669</v>
      </c>
      <c r="S8" s="19">
        <v>0.79166666666666663</v>
      </c>
      <c r="T8" s="19">
        <v>0.41666666666666669</v>
      </c>
      <c r="U8" s="19">
        <v>0.79166666666666663</v>
      </c>
      <c r="V8" s="19">
        <v>0.41666666666666669</v>
      </c>
      <c r="W8" s="19">
        <v>0.79166666666666663</v>
      </c>
      <c r="X8" s="19" t="s">
        <v>32</v>
      </c>
      <c r="Y8" s="19" t="s">
        <v>32</v>
      </c>
      <c r="Z8" s="5">
        <v>1190</v>
      </c>
      <c r="AA8" s="6" t="s">
        <v>48</v>
      </c>
      <c r="AB8" s="14">
        <v>42.499999999999993</v>
      </c>
    </row>
    <row r="9" spans="1:28" ht="15" customHeight="1" x14ac:dyDescent="0.25">
      <c r="A9" s="16">
        <v>5146060</v>
      </c>
      <c r="B9" s="16" t="s">
        <v>72</v>
      </c>
      <c r="C9" s="16" t="s">
        <v>73</v>
      </c>
      <c r="D9" s="17" t="s">
        <v>74</v>
      </c>
      <c r="E9" s="18">
        <v>2009531321</v>
      </c>
      <c r="F9" s="18">
        <v>2</v>
      </c>
      <c r="G9" s="16" t="s">
        <v>75</v>
      </c>
      <c r="H9" s="15" t="s">
        <v>30</v>
      </c>
      <c r="I9" s="16" t="s">
        <v>35</v>
      </c>
      <c r="J9" s="15" t="s">
        <v>37</v>
      </c>
      <c r="K9" s="15" t="s">
        <v>31</v>
      </c>
      <c r="L9" s="19" t="s">
        <v>32</v>
      </c>
      <c r="M9" s="19" t="s">
        <v>32</v>
      </c>
      <c r="N9" s="19">
        <v>0.33333333333333331</v>
      </c>
      <c r="O9" s="19">
        <v>0.70833333333333337</v>
      </c>
      <c r="P9" s="19">
        <v>0.33333333333333331</v>
      </c>
      <c r="Q9" s="19">
        <v>0.70833333333333337</v>
      </c>
      <c r="R9" s="19">
        <v>0.33333333333333331</v>
      </c>
      <c r="S9" s="19">
        <v>0.70833333333333337</v>
      </c>
      <c r="T9" s="19">
        <v>0.33333333333333331</v>
      </c>
      <c r="U9" s="19">
        <v>0.70833333333333337</v>
      </c>
      <c r="V9" s="19">
        <v>0.33333333333333331</v>
      </c>
      <c r="W9" s="19">
        <v>0.70833333333333337</v>
      </c>
      <c r="X9" s="19" t="s">
        <v>32</v>
      </c>
      <c r="Y9" s="19" t="s">
        <v>32</v>
      </c>
      <c r="Z9" s="5">
        <v>1218</v>
      </c>
      <c r="AA9" s="6" t="s">
        <v>48</v>
      </c>
      <c r="AB9" s="14">
        <v>42.500000000000007</v>
      </c>
    </row>
    <row r="10" spans="1:28" ht="15" customHeight="1" x14ac:dyDescent="0.25">
      <c r="A10" s="16">
        <v>5207891</v>
      </c>
      <c r="B10" s="16" t="s">
        <v>76</v>
      </c>
      <c r="C10" s="16" t="s">
        <v>77</v>
      </c>
      <c r="D10" s="17" t="s">
        <v>78</v>
      </c>
      <c r="E10" s="18">
        <v>2009532515</v>
      </c>
      <c r="F10" s="18">
        <v>3</v>
      </c>
      <c r="G10" s="16" t="s">
        <v>79</v>
      </c>
      <c r="H10" s="15" t="s">
        <v>30</v>
      </c>
      <c r="I10" s="16" t="s">
        <v>35</v>
      </c>
      <c r="J10" s="15" t="s">
        <v>37</v>
      </c>
      <c r="K10" s="15" t="s">
        <v>31</v>
      </c>
      <c r="L10" s="19" t="s">
        <v>32</v>
      </c>
      <c r="M10" s="19" t="s">
        <v>32</v>
      </c>
      <c r="N10" s="19">
        <v>0.41666666666666669</v>
      </c>
      <c r="O10" s="19">
        <v>0.79166666666666663</v>
      </c>
      <c r="P10" s="19">
        <v>0.41666666666666669</v>
      </c>
      <c r="Q10" s="19">
        <v>0.79166666666666663</v>
      </c>
      <c r="R10" s="19">
        <v>0.41666666666666669</v>
      </c>
      <c r="S10" s="19">
        <v>0.79166666666666663</v>
      </c>
      <c r="T10" s="19">
        <v>0.41666666666666669</v>
      </c>
      <c r="U10" s="19">
        <v>0.79166666666666663</v>
      </c>
      <c r="V10" s="19">
        <v>0.41666666666666669</v>
      </c>
      <c r="W10" s="19">
        <v>0.79166666666666663</v>
      </c>
      <c r="X10" s="19" t="s">
        <v>32</v>
      </c>
      <c r="Y10" s="19" t="s">
        <v>32</v>
      </c>
      <c r="Z10" s="5">
        <v>1155</v>
      </c>
      <c r="AA10" s="6" t="s">
        <v>48</v>
      </c>
      <c r="AB10" s="14">
        <v>42.499999999999993</v>
      </c>
    </row>
    <row r="11" spans="1:28" ht="15" customHeight="1" x14ac:dyDescent="0.25">
      <c r="A11" s="16">
        <v>5272864</v>
      </c>
      <c r="B11" s="16" t="s">
        <v>80</v>
      </c>
      <c r="C11" s="16" t="s">
        <v>81</v>
      </c>
      <c r="D11" s="17" t="s">
        <v>82</v>
      </c>
      <c r="E11" s="18">
        <v>2009531972</v>
      </c>
      <c r="F11" s="18">
        <v>4</v>
      </c>
      <c r="G11" s="16" t="s">
        <v>83</v>
      </c>
      <c r="H11" s="15" t="s">
        <v>30</v>
      </c>
      <c r="I11" s="16" t="s">
        <v>36</v>
      </c>
      <c r="J11" s="15" t="s">
        <v>37</v>
      </c>
      <c r="K11" s="15" t="s">
        <v>31</v>
      </c>
      <c r="L11" s="19" t="s">
        <v>32</v>
      </c>
      <c r="M11" s="19" t="s">
        <v>32</v>
      </c>
      <c r="N11" s="19">
        <v>0.33333333333333331</v>
      </c>
      <c r="O11" s="19">
        <v>0.70833333333333337</v>
      </c>
      <c r="P11" s="19">
        <v>0.33333333333333331</v>
      </c>
      <c r="Q11" s="19">
        <v>0.70833333333333337</v>
      </c>
      <c r="R11" s="19">
        <v>0.33333333333333331</v>
      </c>
      <c r="S11" s="19">
        <v>0.70833333333333337</v>
      </c>
      <c r="T11" s="19">
        <v>0.33333333333333331</v>
      </c>
      <c r="U11" s="19">
        <v>0.70833333333333337</v>
      </c>
      <c r="V11" s="19">
        <v>0.33333333333333331</v>
      </c>
      <c r="W11" s="19">
        <v>0.70833333333333337</v>
      </c>
      <c r="X11" s="19" t="s">
        <v>32</v>
      </c>
      <c r="Y11" s="19" t="s">
        <v>32</v>
      </c>
      <c r="Z11" s="5">
        <v>1092</v>
      </c>
      <c r="AA11" s="6" t="s">
        <v>48</v>
      </c>
      <c r="AB11" s="14">
        <v>42.500000000000007</v>
      </c>
    </row>
    <row r="12" spans="1:28" ht="15" customHeight="1" x14ac:dyDescent="0.25">
      <c r="A12" s="16">
        <v>5169971</v>
      </c>
      <c r="B12" s="16" t="s">
        <v>84</v>
      </c>
      <c r="C12" s="16" t="s">
        <v>85</v>
      </c>
      <c r="D12" s="17" t="s">
        <v>86</v>
      </c>
      <c r="E12" s="18">
        <v>2009531445</v>
      </c>
      <c r="F12" s="18">
        <v>4</v>
      </c>
      <c r="G12" s="16" t="s">
        <v>87</v>
      </c>
      <c r="H12" s="15" t="s">
        <v>30</v>
      </c>
      <c r="I12" s="16" t="s">
        <v>192</v>
      </c>
      <c r="J12" s="15" t="s">
        <v>37</v>
      </c>
      <c r="K12" s="15" t="s">
        <v>31</v>
      </c>
      <c r="L12" s="19" t="s">
        <v>32</v>
      </c>
      <c r="M12" s="19" t="s">
        <v>32</v>
      </c>
      <c r="N12" s="19">
        <v>0.33333333333333331</v>
      </c>
      <c r="O12" s="19">
        <v>0.70833333333333337</v>
      </c>
      <c r="P12" s="19">
        <v>0.33333333333333331</v>
      </c>
      <c r="Q12" s="19">
        <v>0.70833333333333337</v>
      </c>
      <c r="R12" s="19">
        <v>0.33333333333333331</v>
      </c>
      <c r="S12" s="19">
        <v>0.70833333333333337</v>
      </c>
      <c r="T12" s="19">
        <v>0.33333333333333331</v>
      </c>
      <c r="U12" s="19">
        <v>0.70833333333333337</v>
      </c>
      <c r="V12" s="19">
        <v>0.33333333333333331</v>
      </c>
      <c r="W12" s="19">
        <v>0.70833333333333337</v>
      </c>
      <c r="X12" s="19" t="s">
        <v>32</v>
      </c>
      <c r="Y12" s="19" t="s">
        <v>32</v>
      </c>
      <c r="Z12" s="5">
        <v>1190</v>
      </c>
      <c r="AA12" s="6" t="s">
        <v>48</v>
      </c>
      <c r="AB12" s="14">
        <v>42.500000000000007</v>
      </c>
    </row>
    <row r="13" spans="1:28" ht="15" customHeight="1" x14ac:dyDescent="0.25">
      <c r="A13" s="16">
        <v>5638529</v>
      </c>
      <c r="B13" s="16" t="s">
        <v>88</v>
      </c>
      <c r="C13" s="16" t="s">
        <v>89</v>
      </c>
      <c r="D13" s="17" t="s">
        <v>90</v>
      </c>
      <c r="E13" s="18">
        <v>2009531010</v>
      </c>
      <c r="F13" s="18">
        <v>4</v>
      </c>
      <c r="G13" s="16" t="s">
        <v>91</v>
      </c>
      <c r="H13" s="15" t="s">
        <v>30</v>
      </c>
      <c r="I13" s="16" t="s">
        <v>36</v>
      </c>
      <c r="J13" s="15" t="s">
        <v>37</v>
      </c>
      <c r="K13" s="15" t="s">
        <v>31</v>
      </c>
      <c r="L13" s="19" t="s">
        <v>32</v>
      </c>
      <c r="M13" s="19" t="s">
        <v>32</v>
      </c>
      <c r="N13" s="19">
        <v>0.33333333333333331</v>
      </c>
      <c r="O13" s="19">
        <v>0.70833333333333337</v>
      </c>
      <c r="P13" s="19">
        <v>0.33333333333333331</v>
      </c>
      <c r="Q13" s="19">
        <v>0.70833333333333337</v>
      </c>
      <c r="R13" s="19">
        <v>0.33333333333333331</v>
      </c>
      <c r="S13" s="19">
        <v>0.70833333333333337</v>
      </c>
      <c r="T13" s="19">
        <v>0.33333333333333331</v>
      </c>
      <c r="U13" s="19">
        <v>0.70833333333333337</v>
      </c>
      <c r="V13" s="19">
        <v>0.33333333333333331</v>
      </c>
      <c r="W13" s="19">
        <v>0.70833333333333337</v>
      </c>
      <c r="X13" s="19" t="s">
        <v>32</v>
      </c>
      <c r="Y13" s="19" t="s">
        <v>32</v>
      </c>
      <c r="Z13" s="5">
        <v>811</v>
      </c>
      <c r="AA13" s="6" t="s">
        <v>48</v>
      </c>
      <c r="AB13" s="14">
        <v>42.5</v>
      </c>
    </row>
    <row r="14" spans="1:28" x14ac:dyDescent="0.25">
      <c r="A14" s="16">
        <v>5621073</v>
      </c>
      <c r="B14" s="16" t="s">
        <v>92</v>
      </c>
      <c r="C14" s="16" t="s">
        <v>93</v>
      </c>
      <c r="D14" s="17" t="s">
        <v>94</v>
      </c>
      <c r="E14" s="18">
        <v>2009532792</v>
      </c>
      <c r="F14" s="18">
        <v>4</v>
      </c>
      <c r="G14" s="16" t="s">
        <v>95</v>
      </c>
      <c r="H14" s="15" t="s">
        <v>30</v>
      </c>
      <c r="I14" s="16" t="s">
        <v>36</v>
      </c>
      <c r="J14" s="15" t="s">
        <v>37</v>
      </c>
      <c r="K14" s="15" t="s">
        <v>31</v>
      </c>
      <c r="L14" s="19" t="s">
        <v>32</v>
      </c>
      <c r="M14" s="19" t="s">
        <v>32</v>
      </c>
      <c r="N14" s="19">
        <v>0.33333333333333331</v>
      </c>
      <c r="O14" s="19">
        <v>0.70833333333333337</v>
      </c>
      <c r="P14" s="19">
        <v>0.33333333333333331</v>
      </c>
      <c r="Q14" s="19">
        <v>0.70833333333333337</v>
      </c>
      <c r="R14" s="19">
        <v>0.33333333333333331</v>
      </c>
      <c r="S14" s="19">
        <v>0.70833333333333337</v>
      </c>
      <c r="T14" s="19">
        <v>0.33333333333333331</v>
      </c>
      <c r="U14" s="19">
        <v>0.70833333333333337</v>
      </c>
      <c r="V14" s="19">
        <v>0.33333333333333331</v>
      </c>
      <c r="W14" s="19">
        <v>0.70833333333333337</v>
      </c>
      <c r="X14" s="19" t="s">
        <v>32</v>
      </c>
      <c r="Y14" s="19" t="s">
        <v>32</v>
      </c>
      <c r="Z14" s="5">
        <v>819</v>
      </c>
      <c r="AA14" s="6" t="s">
        <v>48</v>
      </c>
      <c r="AB14" s="14">
        <v>42.500000000000007</v>
      </c>
    </row>
    <row r="15" spans="1:28" x14ac:dyDescent="0.25">
      <c r="A15" s="16">
        <v>5270083</v>
      </c>
      <c r="B15" s="16" t="s">
        <v>96</v>
      </c>
      <c r="C15" s="16" t="s">
        <v>97</v>
      </c>
      <c r="D15" s="17" t="s">
        <v>98</v>
      </c>
      <c r="E15" s="18">
        <v>2009530830</v>
      </c>
      <c r="F15" s="18">
        <v>5</v>
      </c>
      <c r="G15" s="16" t="s">
        <v>99</v>
      </c>
      <c r="H15" s="15" t="s">
        <v>30</v>
      </c>
      <c r="I15" s="16" t="s">
        <v>192</v>
      </c>
      <c r="J15" s="15" t="s">
        <v>37</v>
      </c>
      <c r="K15" s="15" t="s">
        <v>31</v>
      </c>
      <c r="L15" s="19" t="s">
        <v>32</v>
      </c>
      <c r="M15" s="19" t="s">
        <v>32</v>
      </c>
      <c r="N15" s="19">
        <v>0.33333333333333331</v>
      </c>
      <c r="O15" s="19">
        <v>0.70833333333333337</v>
      </c>
      <c r="P15" s="19">
        <v>0.33333333333333331</v>
      </c>
      <c r="Q15" s="19">
        <v>0.70833333333333337</v>
      </c>
      <c r="R15" s="19">
        <v>0.33333333333333331</v>
      </c>
      <c r="S15" s="19">
        <v>0.70833333333333337</v>
      </c>
      <c r="T15" s="19">
        <v>0.33333333333333331</v>
      </c>
      <c r="U15" s="19">
        <v>0.70833333333333337</v>
      </c>
      <c r="V15" s="19">
        <v>0.33333333333333331</v>
      </c>
      <c r="W15" s="19">
        <v>0.70833333333333337</v>
      </c>
      <c r="X15" s="19" t="s">
        <v>32</v>
      </c>
      <c r="Y15" s="19" t="s">
        <v>32</v>
      </c>
      <c r="Z15" s="5">
        <v>1099</v>
      </c>
      <c r="AA15" s="6" t="s">
        <v>48</v>
      </c>
      <c r="AB15" s="14">
        <v>42.500000000000007</v>
      </c>
    </row>
    <row r="16" spans="1:28" x14ac:dyDescent="0.25">
      <c r="A16" s="16">
        <v>5691560</v>
      </c>
      <c r="B16" s="16" t="s">
        <v>100</v>
      </c>
      <c r="C16" s="16" t="s">
        <v>101</v>
      </c>
      <c r="D16" s="17" t="s">
        <v>102</v>
      </c>
      <c r="E16" s="18">
        <v>2009531318</v>
      </c>
      <c r="F16" s="18">
        <v>5</v>
      </c>
      <c r="G16" s="16" t="s">
        <v>103</v>
      </c>
      <c r="H16" s="15" t="s">
        <v>30</v>
      </c>
      <c r="I16" s="16" t="s">
        <v>35</v>
      </c>
      <c r="J16" s="15" t="s">
        <v>37</v>
      </c>
      <c r="K16" s="15" t="s">
        <v>31</v>
      </c>
      <c r="L16" s="19" t="s">
        <v>32</v>
      </c>
      <c r="M16" s="19" t="s">
        <v>32</v>
      </c>
      <c r="N16" s="19">
        <v>0.41666666666666669</v>
      </c>
      <c r="O16" s="19">
        <v>0.79166666666666663</v>
      </c>
      <c r="P16" s="19">
        <v>0.41666666666666669</v>
      </c>
      <c r="Q16" s="19">
        <v>0.79166666666666663</v>
      </c>
      <c r="R16" s="19">
        <v>0.41666666666666669</v>
      </c>
      <c r="S16" s="19">
        <v>0.79166666666666663</v>
      </c>
      <c r="T16" s="19">
        <v>0.41666666666666669</v>
      </c>
      <c r="U16" s="19">
        <v>0.79166666666666663</v>
      </c>
      <c r="V16" s="19">
        <v>0.41666666666666669</v>
      </c>
      <c r="W16" s="19">
        <v>0.79166666666666663</v>
      </c>
      <c r="X16" s="19" t="s">
        <v>32</v>
      </c>
      <c r="Y16" s="19" t="s">
        <v>32</v>
      </c>
      <c r="Z16" s="5">
        <v>770</v>
      </c>
      <c r="AA16" s="6" t="s">
        <v>48</v>
      </c>
      <c r="AB16" s="14">
        <v>42.499999999999993</v>
      </c>
    </row>
    <row r="17" spans="1:28" x14ac:dyDescent="0.25">
      <c r="A17" s="16">
        <v>5691556</v>
      </c>
      <c r="B17" s="16" t="s">
        <v>104</v>
      </c>
      <c r="C17" s="16" t="s">
        <v>105</v>
      </c>
      <c r="D17" s="17" t="s">
        <v>106</v>
      </c>
      <c r="E17" s="18">
        <v>2009530669</v>
      </c>
      <c r="F17" s="18">
        <v>5</v>
      </c>
      <c r="G17" s="16" t="s">
        <v>107</v>
      </c>
      <c r="H17" s="15" t="s">
        <v>30</v>
      </c>
      <c r="I17" s="16" t="s">
        <v>192</v>
      </c>
      <c r="J17" s="15" t="s">
        <v>37</v>
      </c>
      <c r="K17" s="15" t="s">
        <v>31</v>
      </c>
      <c r="L17" s="19" t="s">
        <v>32</v>
      </c>
      <c r="M17" s="19" t="s">
        <v>32</v>
      </c>
      <c r="N17" s="19">
        <v>0.41666666666666669</v>
      </c>
      <c r="O17" s="19">
        <v>0.79166666666666663</v>
      </c>
      <c r="P17" s="19">
        <v>0.39583333333333331</v>
      </c>
      <c r="Q17" s="19">
        <v>0.77083333333333337</v>
      </c>
      <c r="R17" s="19">
        <v>0.375</v>
      </c>
      <c r="S17" s="19">
        <v>0.75</v>
      </c>
      <c r="T17" s="19">
        <v>0.41666666666666669</v>
      </c>
      <c r="U17" s="19">
        <v>0.64583333333333337</v>
      </c>
      <c r="V17" s="19">
        <v>0.41666666666666669</v>
      </c>
      <c r="W17" s="19">
        <v>0.79166666666666663</v>
      </c>
      <c r="X17" s="19" t="s">
        <v>32</v>
      </c>
      <c r="Y17" s="19" t="s">
        <v>32</v>
      </c>
      <c r="Z17" s="5">
        <v>770</v>
      </c>
      <c r="AA17" s="6" t="s">
        <v>48</v>
      </c>
      <c r="AB17" s="14">
        <v>39.5</v>
      </c>
    </row>
    <row r="18" spans="1:28" x14ac:dyDescent="0.25">
      <c r="A18" s="16">
        <v>5318603</v>
      </c>
      <c r="B18" s="16" t="s">
        <v>108</v>
      </c>
      <c r="C18" s="16" t="s">
        <v>109</v>
      </c>
      <c r="D18" s="17" t="s">
        <v>110</v>
      </c>
      <c r="E18" s="18">
        <v>2009532388</v>
      </c>
      <c r="F18" s="18">
        <v>5</v>
      </c>
      <c r="G18" s="16" t="s">
        <v>111</v>
      </c>
      <c r="H18" s="15" t="s">
        <v>30</v>
      </c>
      <c r="I18" s="16" t="s">
        <v>35</v>
      </c>
      <c r="J18" s="15" t="s">
        <v>37</v>
      </c>
      <c r="K18" s="15" t="s">
        <v>31</v>
      </c>
      <c r="L18" s="19" t="s">
        <v>32</v>
      </c>
      <c r="M18" s="19" t="s">
        <v>32</v>
      </c>
      <c r="N18" s="19">
        <v>0.35416666666666669</v>
      </c>
      <c r="O18" s="19">
        <v>0.77083333333333337</v>
      </c>
      <c r="P18" s="19">
        <v>0.33333333333333331</v>
      </c>
      <c r="Q18" s="19">
        <v>0.625</v>
      </c>
      <c r="R18" s="19">
        <v>0.33333333333333331</v>
      </c>
      <c r="S18" s="19">
        <v>0.70833333333333337</v>
      </c>
      <c r="T18" s="19">
        <v>0.33333333333333331</v>
      </c>
      <c r="U18" s="19">
        <v>0.625</v>
      </c>
      <c r="V18" s="19">
        <v>0.35416666666666669</v>
      </c>
      <c r="W18" s="19">
        <v>0.77083333333333337</v>
      </c>
      <c r="X18" s="19" t="s">
        <v>32</v>
      </c>
      <c r="Y18" s="19" t="s">
        <v>32</v>
      </c>
      <c r="Z18" s="5">
        <v>1043</v>
      </c>
      <c r="AA18" s="6" t="s">
        <v>48</v>
      </c>
      <c r="AB18" s="14">
        <v>40.500000000000014</v>
      </c>
    </row>
    <row r="19" spans="1:28" x14ac:dyDescent="0.25">
      <c r="A19" s="16">
        <v>5314877</v>
      </c>
      <c r="B19" s="16" t="s">
        <v>112</v>
      </c>
      <c r="C19" s="16" t="s">
        <v>113</v>
      </c>
      <c r="D19" s="17" t="s">
        <v>114</v>
      </c>
      <c r="E19" s="18">
        <v>2009531847</v>
      </c>
      <c r="F19" s="18">
        <v>5</v>
      </c>
      <c r="G19" s="16" t="s">
        <v>115</v>
      </c>
      <c r="H19" s="15" t="s">
        <v>30</v>
      </c>
      <c r="I19" s="16" t="s">
        <v>35</v>
      </c>
      <c r="J19" s="15" t="s">
        <v>37</v>
      </c>
      <c r="K19" s="15" t="s">
        <v>31</v>
      </c>
      <c r="L19" s="19" t="s">
        <v>32</v>
      </c>
      <c r="M19" s="19" t="s">
        <v>32</v>
      </c>
      <c r="N19" s="19">
        <v>0.39583333333333331</v>
      </c>
      <c r="O19" s="19">
        <v>0.77083333333333337</v>
      </c>
      <c r="P19" s="19">
        <v>0.35416666666666669</v>
      </c>
      <c r="Q19" s="19">
        <v>0.70833333333333337</v>
      </c>
      <c r="R19" s="19">
        <v>0.39583333333333331</v>
      </c>
      <c r="S19" s="19">
        <v>0.77083333333333337</v>
      </c>
      <c r="T19" s="19">
        <v>0.35416666666666669</v>
      </c>
      <c r="U19" s="19">
        <v>0.70833333333333337</v>
      </c>
      <c r="V19" s="19">
        <v>0.39583333333333331</v>
      </c>
      <c r="W19" s="19">
        <v>0.77083333333333337</v>
      </c>
      <c r="X19" s="19" t="s">
        <v>32</v>
      </c>
      <c r="Y19" s="19" t="s">
        <v>32</v>
      </c>
      <c r="Z19" s="5">
        <v>1050</v>
      </c>
      <c r="AA19" s="6" t="s">
        <v>48</v>
      </c>
      <c r="AB19" s="14">
        <v>41.500000000000014</v>
      </c>
    </row>
    <row r="20" spans="1:28" x14ac:dyDescent="0.25">
      <c r="A20" s="16">
        <v>5527739</v>
      </c>
      <c r="B20" s="16" t="s">
        <v>116</v>
      </c>
      <c r="C20" s="16" t="s">
        <v>117</v>
      </c>
      <c r="D20" s="17" t="s">
        <v>118</v>
      </c>
      <c r="E20" s="18">
        <v>2009530994</v>
      </c>
      <c r="F20" s="18">
        <v>5</v>
      </c>
      <c r="G20" s="16" t="s">
        <v>119</v>
      </c>
      <c r="H20" s="15" t="s">
        <v>30</v>
      </c>
      <c r="I20" s="16" t="s">
        <v>192</v>
      </c>
      <c r="J20" s="15" t="s">
        <v>37</v>
      </c>
      <c r="K20" s="15" t="s">
        <v>31</v>
      </c>
      <c r="L20" s="19" t="s">
        <v>32</v>
      </c>
      <c r="M20" s="19" t="s">
        <v>32</v>
      </c>
      <c r="N20" s="19">
        <v>0.375</v>
      </c>
      <c r="O20" s="19">
        <v>0.75</v>
      </c>
      <c r="P20" s="19">
        <v>0.375</v>
      </c>
      <c r="Q20" s="19">
        <v>0.75</v>
      </c>
      <c r="R20" s="19">
        <v>0.375</v>
      </c>
      <c r="S20" s="19">
        <v>0.75</v>
      </c>
      <c r="T20" s="19">
        <v>0.375</v>
      </c>
      <c r="U20" s="19">
        <v>0.75</v>
      </c>
      <c r="V20" s="19">
        <v>0.375</v>
      </c>
      <c r="W20" s="19">
        <v>0.75</v>
      </c>
      <c r="X20" s="19" t="s">
        <v>32</v>
      </c>
      <c r="Y20" s="19" t="s">
        <v>32</v>
      </c>
      <c r="Z20" s="5">
        <v>882</v>
      </c>
      <c r="AA20" s="6" t="s">
        <v>48</v>
      </c>
      <c r="AB20" s="14">
        <v>42.5</v>
      </c>
    </row>
    <row r="21" spans="1:28" x14ac:dyDescent="0.25">
      <c r="A21" s="16">
        <v>5874439</v>
      </c>
      <c r="B21" s="16" t="s">
        <v>120</v>
      </c>
      <c r="C21" s="16" t="s">
        <v>121</v>
      </c>
      <c r="D21" s="17" t="s">
        <v>122</v>
      </c>
      <c r="E21" s="18">
        <v>2009531011</v>
      </c>
      <c r="F21" s="18">
        <v>6</v>
      </c>
      <c r="G21" s="16" t="s">
        <v>123</v>
      </c>
      <c r="H21" s="15" t="s">
        <v>30</v>
      </c>
      <c r="I21" s="16" t="s">
        <v>192</v>
      </c>
      <c r="J21" s="15" t="s">
        <v>37</v>
      </c>
      <c r="K21" s="15" t="s">
        <v>31</v>
      </c>
      <c r="L21" s="19" t="s">
        <v>32</v>
      </c>
      <c r="M21" s="19" t="s">
        <v>32</v>
      </c>
      <c r="N21" s="19">
        <v>0.33333333333333331</v>
      </c>
      <c r="O21" s="19">
        <v>0.70833333333333337</v>
      </c>
      <c r="P21" s="19">
        <v>0.33333333333333331</v>
      </c>
      <c r="Q21" s="19">
        <v>0.70833333333333337</v>
      </c>
      <c r="R21" s="19">
        <v>0.33333333333333331</v>
      </c>
      <c r="S21" s="19">
        <v>0.70833333333333337</v>
      </c>
      <c r="T21" s="19">
        <v>0.33333333333333331</v>
      </c>
      <c r="U21" s="19">
        <v>0.70833333333333337</v>
      </c>
      <c r="V21" s="19">
        <v>0.33333333333333331</v>
      </c>
      <c r="W21" s="19">
        <v>0.70833333333333337</v>
      </c>
      <c r="X21" s="19" t="s">
        <v>32</v>
      </c>
      <c r="Y21" s="19" t="s">
        <v>32</v>
      </c>
      <c r="Z21" s="5">
        <v>608</v>
      </c>
      <c r="AA21" s="6" t="s">
        <v>48</v>
      </c>
      <c r="AB21" s="14">
        <v>42.500000000000007</v>
      </c>
    </row>
    <row r="22" spans="1:28" x14ac:dyDescent="0.25">
      <c r="A22" s="16">
        <v>5329714</v>
      </c>
      <c r="B22" s="16" t="s">
        <v>124</v>
      </c>
      <c r="C22" s="16" t="s">
        <v>125</v>
      </c>
      <c r="D22" s="17" t="s">
        <v>126</v>
      </c>
      <c r="E22" s="18">
        <v>2009532138</v>
      </c>
      <c r="F22" s="18">
        <v>6</v>
      </c>
      <c r="G22" s="16" t="s">
        <v>127</v>
      </c>
      <c r="H22" s="15" t="s">
        <v>30</v>
      </c>
      <c r="I22" s="16" t="s">
        <v>35</v>
      </c>
      <c r="J22" s="15" t="s">
        <v>37</v>
      </c>
      <c r="K22" s="15" t="s">
        <v>31</v>
      </c>
      <c r="L22" s="19" t="s">
        <v>32</v>
      </c>
      <c r="M22" s="19" t="s">
        <v>32</v>
      </c>
      <c r="N22" s="19">
        <v>0.33333333333333331</v>
      </c>
      <c r="O22" s="19">
        <v>0.70833333333333337</v>
      </c>
      <c r="P22" s="19">
        <v>0.33333333333333331</v>
      </c>
      <c r="Q22" s="19">
        <v>0.70833333333333337</v>
      </c>
      <c r="R22" s="19">
        <v>0.33333333333333331</v>
      </c>
      <c r="S22" s="19">
        <v>0.70833333333333337</v>
      </c>
      <c r="T22" s="19">
        <v>0.33333333333333331</v>
      </c>
      <c r="U22" s="19">
        <v>0.70833333333333337</v>
      </c>
      <c r="V22" s="19">
        <v>0.33333333333333331</v>
      </c>
      <c r="W22" s="19">
        <v>0.70833333333333337</v>
      </c>
      <c r="X22" s="19" t="s">
        <v>32</v>
      </c>
      <c r="Y22" s="19" t="s">
        <v>32</v>
      </c>
      <c r="Z22" s="5">
        <v>609</v>
      </c>
      <c r="AA22" s="6" t="s">
        <v>48</v>
      </c>
      <c r="AB22" s="14">
        <v>42.500000000000007</v>
      </c>
    </row>
    <row r="23" spans="1:28" x14ac:dyDescent="0.25">
      <c r="A23" s="16">
        <v>5613524</v>
      </c>
      <c r="B23" s="16" t="s">
        <v>128</v>
      </c>
      <c r="C23" s="16" t="s">
        <v>129</v>
      </c>
      <c r="D23" s="17" t="s">
        <v>130</v>
      </c>
      <c r="E23" s="18">
        <v>2009532489</v>
      </c>
      <c r="F23" s="18">
        <v>7</v>
      </c>
      <c r="G23" s="16" t="s">
        <v>131</v>
      </c>
      <c r="H23" s="15" t="s">
        <v>30</v>
      </c>
      <c r="I23" s="16" t="s">
        <v>36</v>
      </c>
      <c r="J23" s="15" t="s">
        <v>37</v>
      </c>
      <c r="K23" s="15" t="s">
        <v>31</v>
      </c>
      <c r="L23" s="19" t="s">
        <v>32</v>
      </c>
      <c r="M23" s="19" t="s">
        <v>32</v>
      </c>
      <c r="N23" s="19">
        <v>0.45833333333333331</v>
      </c>
      <c r="O23" s="19">
        <v>0.79166666666666663</v>
      </c>
      <c r="P23" s="19">
        <v>0.47916666666666669</v>
      </c>
      <c r="Q23" s="19">
        <v>0.79166666666666663</v>
      </c>
      <c r="R23" s="19">
        <v>0.33333333333333331</v>
      </c>
      <c r="S23" s="19">
        <v>0.58333333333333337</v>
      </c>
      <c r="T23" s="19">
        <v>0.33333333333333331</v>
      </c>
      <c r="U23" s="19">
        <v>0.79166666666666663</v>
      </c>
      <c r="V23" s="19">
        <v>0.33333333333333331</v>
      </c>
      <c r="W23" s="19">
        <v>0.79166666666666663</v>
      </c>
      <c r="X23" s="19" t="s">
        <v>32</v>
      </c>
      <c r="Y23" s="19" t="s">
        <v>32</v>
      </c>
      <c r="Z23" s="5">
        <v>826</v>
      </c>
      <c r="AA23" s="6" t="s">
        <v>48</v>
      </c>
      <c r="AB23" s="14">
        <v>41.5</v>
      </c>
    </row>
    <row r="24" spans="1:28" x14ac:dyDescent="0.25">
      <c r="A24" s="16">
        <v>6001392</v>
      </c>
      <c r="B24" s="16" t="s">
        <v>132</v>
      </c>
      <c r="C24" s="16" t="s">
        <v>133</v>
      </c>
      <c r="D24" s="17" t="s">
        <v>134</v>
      </c>
      <c r="E24" s="18">
        <v>2009530178</v>
      </c>
      <c r="F24" s="18">
        <v>7</v>
      </c>
      <c r="G24" s="16" t="s">
        <v>135</v>
      </c>
      <c r="H24" s="15" t="s">
        <v>30</v>
      </c>
      <c r="I24" s="16" t="s">
        <v>35</v>
      </c>
      <c r="J24" s="15" t="s">
        <v>37</v>
      </c>
      <c r="K24" s="15" t="s">
        <v>31</v>
      </c>
      <c r="L24" s="19" t="s">
        <v>32</v>
      </c>
      <c r="M24" s="19" t="s">
        <v>32</v>
      </c>
      <c r="N24" s="19">
        <v>0.375</v>
      </c>
      <c r="O24" s="19">
        <v>0.75</v>
      </c>
      <c r="P24" s="19">
        <v>0.375</v>
      </c>
      <c r="Q24" s="19">
        <v>0.75</v>
      </c>
      <c r="R24" s="19">
        <v>0.375</v>
      </c>
      <c r="S24" s="19">
        <v>0.75</v>
      </c>
      <c r="T24" s="19">
        <v>0.375</v>
      </c>
      <c r="U24" s="19">
        <v>0.75</v>
      </c>
      <c r="V24" s="19">
        <v>0.375</v>
      </c>
      <c r="W24" s="19">
        <v>0.75</v>
      </c>
      <c r="X24" s="19" t="s">
        <v>32</v>
      </c>
      <c r="Y24" s="19" t="s">
        <v>32</v>
      </c>
      <c r="Z24" s="5">
        <v>497</v>
      </c>
      <c r="AA24" s="6" t="s">
        <v>48</v>
      </c>
      <c r="AB24" s="14">
        <v>42.5</v>
      </c>
    </row>
    <row r="25" spans="1:28" x14ac:dyDescent="0.25">
      <c r="A25" s="16">
        <v>5842851</v>
      </c>
      <c r="B25" s="16" t="s">
        <v>136</v>
      </c>
      <c r="C25" s="16" t="s">
        <v>137</v>
      </c>
      <c r="D25" s="17" t="s">
        <v>138</v>
      </c>
      <c r="E25" s="18">
        <v>2009530128</v>
      </c>
      <c r="F25" s="18">
        <v>7</v>
      </c>
      <c r="G25" s="16" t="s">
        <v>139</v>
      </c>
      <c r="H25" s="15" t="s">
        <v>30</v>
      </c>
      <c r="I25" s="16" t="s">
        <v>35</v>
      </c>
      <c r="J25" s="15" t="s">
        <v>37</v>
      </c>
      <c r="K25" s="15" t="s">
        <v>31</v>
      </c>
      <c r="L25" s="19" t="s">
        <v>32</v>
      </c>
      <c r="M25" s="19" t="s">
        <v>32</v>
      </c>
      <c r="N25" s="19">
        <v>0.375</v>
      </c>
      <c r="O25" s="19">
        <v>0.75</v>
      </c>
      <c r="P25" s="19">
        <v>0.375</v>
      </c>
      <c r="Q25" s="19">
        <v>0.75</v>
      </c>
      <c r="R25" s="19">
        <v>0.375</v>
      </c>
      <c r="S25" s="19">
        <v>0.75</v>
      </c>
      <c r="T25" s="19">
        <v>0.375</v>
      </c>
      <c r="U25" s="19">
        <v>0.75</v>
      </c>
      <c r="V25" s="19">
        <v>0.375</v>
      </c>
      <c r="W25" s="19">
        <v>0.75</v>
      </c>
      <c r="X25" s="19" t="s">
        <v>32</v>
      </c>
      <c r="Y25" s="19" t="s">
        <v>32</v>
      </c>
      <c r="Z25" s="5">
        <v>637</v>
      </c>
      <c r="AA25" s="6" t="s">
        <v>48</v>
      </c>
      <c r="AB25" s="14">
        <v>42.5</v>
      </c>
    </row>
    <row r="26" spans="1:28" x14ac:dyDescent="0.25">
      <c r="A26" s="16">
        <v>5632947</v>
      </c>
      <c r="B26" s="16" t="s">
        <v>193</v>
      </c>
      <c r="C26" s="16" t="s">
        <v>194</v>
      </c>
      <c r="D26" s="17" t="s">
        <v>195</v>
      </c>
      <c r="E26" s="18" t="s">
        <v>198</v>
      </c>
      <c r="F26" s="18">
        <v>7</v>
      </c>
      <c r="G26" s="16" t="s">
        <v>196</v>
      </c>
      <c r="H26" s="15" t="s">
        <v>30</v>
      </c>
      <c r="I26" s="16" t="s">
        <v>36</v>
      </c>
      <c r="J26" s="15" t="s">
        <v>37</v>
      </c>
      <c r="K26" s="15" t="s">
        <v>31</v>
      </c>
      <c r="L26" s="19" t="s">
        <v>32</v>
      </c>
      <c r="M26" s="19" t="s">
        <v>32</v>
      </c>
      <c r="N26" s="19">
        <v>0.41666666666666669</v>
      </c>
      <c r="O26" s="19">
        <v>0.79166666666666663</v>
      </c>
      <c r="P26" s="19">
        <v>0.41666666666666669</v>
      </c>
      <c r="Q26" s="19">
        <v>0.79166666666666663</v>
      </c>
      <c r="R26" s="19">
        <v>0.41666666666666669</v>
      </c>
      <c r="S26" s="19">
        <v>0.79166666666666663</v>
      </c>
      <c r="T26" s="19">
        <v>0.41666666666666669</v>
      </c>
      <c r="U26" s="19">
        <v>0.79166666666666663</v>
      </c>
      <c r="V26" s="19">
        <v>0.41666666666666669</v>
      </c>
      <c r="W26" s="19">
        <v>0.79166666666666663</v>
      </c>
      <c r="X26" s="19" t="s">
        <v>32</v>
      </c>
      <c r="Y26" s="19" t="s">
        <v>32</v>
      </c>
      <c r="Z26" s="5">
        <v>812</v>
      </c>
      <c r="AA26" s="6" t="s">
        <v>48</v>
      </c>
      <c r="AB26" s="14">
        <v>42.499999999999993</v>
      </c>
    </row>
    <row r="27" spans="1:28" x14ac:dyDescent="0.25">
      <c r="A27" s="16">
        <v>6166689</v>
      </c>
      <c r="B27" s="16" t="s">
        <v>140</v>
      </c>
      <c r="C27" s="16" t="s">
        <v>141</v>
      </c>
      <c r="D27" s="17" t="s">
        <v>142</v>
      </c>
      <c r="E27" s="18">
        <v>2009531743</v>
      </c>
      <c r="F27" s="18">
        <v>8</v>
      </c>
      <c r="G27" s="16" t="s">
        <v>143</v>
      </c>
      <c r="H27" s="15" t="s">
        <v>30</v>
      </c>
      <c r="I27" s="16" t="s">
        <v>35</v>
      </c>
      <c r="J27" s="15" t="s">
        <v>37</v>
      </c>
      <c r="K27" s="15" t="s">
        <v>31</v>
      </c>
      <c r="L27" s="19" t="s">
        <v>32</v>
      </c>
      <c r="M27" s="19" t="s">
        <v>32</v>
      </c>
      <c r="N27" s="19">
        <v>0.33333333333333331</v>
      </c>
      <c r="O27" s="19">
        <v>0.70833333333333337</v>
      </c>
      <c r="P27" s="19">
        <v>0.33333333333333331</v>
      </c>
      <c r="Q27" s="19">
        <v>0.70833333333333337</v>
      </c>
      <c r="R27" s="19">
        <v>0.33333333333333331</v>
      </c>
      <c r="S27" s="19">
        <v>0.70833333333333337</v>
      </c>
      <c r="T27" s="19">
        <v>0.33333333333333331</v>
      </c>
      <c r="U27" s="19">
        <v>0.70833333333333337</v>
      </c>
      <c r="V27" s="19">
        <v>0.33333333333333331</v>
      </c>
      <c r="W27" s="19">
        <v>0.70833333333333337</v>
      </c>
      <c r="X27" s="19" t="s">
        <v>32</v>
      </c>
      <c r="Y27" s="19" t="s">
        <v>32</v>
      </c>
      <c r="Z27" s="5">
        <v>363</v>
      </c>
      <c r="AA27" s="6" t="s">
        <v>199</v>
      </c>
      <c r="AB27" s="14">
        <v>42.500000000000007</v>
      </c>
    </row>
    <row r="28" spans="1:28" x14ac:dyDescent="0.25">
      <c r="A28" s="16">
        <v>6168102</v>
      </c>
      <c r="B28" s="16" t="s">
        <v>144</v>
      </c>
      <c r="C28" s="16" t="s">
        <v>145</v>
      </c>
      <c r="D28" s="17" t="s">
        <v>146</v>
      </c>
      <c r="E28" s="18">
        <v>2009532464</v>
      </c>
      <c r="F28" s="18">
        <v>8</v>
      </c>
      <c r="G28" s="16" t="s">
        <v>147</v>
      </c>
      <c r="H28" s="15" t="s">
        <v>30</v>
      </c>
      <c r="I28" s="16" t="s">
        <v>35</v>
      </c>
      <c r="J28" s="15" t="s">
        <v>37</v>
      </c>
      <c r="K28" s="15" t="s">
        <v>31</v>
      </c>
      <c r="L28" s="19" t="s">
        <v>32</v>
      </c>
      <c r="M28" s="19" t="s">
        <v>32</v>
      </c>
      <c r="N28" s="19">
        <v>0.33333333333333331</v>
      </c>
      <c r="O28" s="19">
        <v>0.70833333333333337</v>
      </c>
      <c r="P28" s="19">
        <v>0.33333333333333331</v>
      </c>
      <c r="Q28" s="19">
        <v>0.66666666666666663</v>
      </c>
      <c r="R28" s="19">
        <v>0.33333333333333331</v>
      </c>
      <c r="S28" s="19">
        <v>0.58333333333333337</v>
      </c>
      <c r="T28" s="19">
        <v>0.33333333333333331</v>
      </c>
      <c r="U28" s="19">
        <v>0.79166666666666663</v>
      </c>
      <c r="V28" s="19">
        <v>0.375</v>
      </c>
      <c r="W28" s="19">
        <v>0.79166666666666663</v>
      </c>
      <c r="X28" s="19" t="s">
        <v>32</v>
      </c>
      <c r="Y28" s="19" t="s">
        <v>32</v>
      </c>
      <c r="Z28" s="5">
        <v>364</v>
      </c>
      <c r="AA28" s="6" t="s">
        <v>199</v>
      </c>
      <c r="AB28" s="14">
        <v>42</v>
      </c>
    </row>
    <row r="29" spans="1:28" x14ac:dyDescent="0.25">
      <c r="A29" s="16">
        <v>6168242</v>
      </c>
      <c r="B29" s="16" t="s">
        <v>148</v>
      </c>
      <c r="C29" s="16" t="s">
        <v>149</v>
      </c>
      <c r="D29" s="17" t="s">
        <v>150</v>
      </c>
      <c r="E29" s="18">
        <v>2009530983</v>
      </c>
      <c r="F29" s="18">
        <v>8</v>
      </c>
      <c r="G29" s="16" t="s">
        <v>151</v>
      </c>
      <c r="H29" s="15" t="s">
        <v>30</v>
      </c>
      <c r="I29" s="16" t="s">
        <v>36</v>
      </c>
      <c r="J29" s="15" t="s">
        <v>37</v>
      </c>
      <c r="K29" s="15" t="s">
        <v>31</v>
      </c>
      <c r="L29" s="19" t="s">
        <v>32</v>
      </c>
      <c r="M29" s="19" t="s">
        <v>32</v>
      </c>
      <c r="N29" s="19">
        <v>0.41666666666666663</v>
      </c>
      <c r="O29" s="19">
        <v>0.79166666666666674</v>
      </c>
      <c r="P29" s="19">
        <v>0.41666666666666663</v>
      </c>
      <c r="Q29" s="19">
        <v>0.79166666666666674</v>
      </c>
      <c r="R29" s="19">
        <v>0.41666666666666663</v>
      </c>
      <c r="S29" s="19">
        <v>0.79166666666666674</v>
      </c>
      <c r="T29" s="19">
        <v>0.41666666666666663</v>
      </c>
      <c r="U29" s="19">
        <v>0.79166666666666674</v>
      </c>
      <c r="V29" s="19">
        <v>0.41666666666666663</v>
      </c>
      <c r="W29" s="19">
        <v>0.79166666666666674</v>
      </c>
      <c r="X29" s="19" t="s">
        <v>32</v>
      </c>
      <c r="Y29" s="19" t="s">
        <v>32</v>
      </c>
      <c r="Z29" s="5">
        <v>364</v>
      </c>
      <c r="AA29" s="6" t="s">
        <v>199</v>
      </c>
      <c r="AB29" s="14">
        <v>42.500000000000014</v>
      </c>
    </row>
    <row r="30" spans="1:28" x14ac:dyDescent="0.25">
      <c r="A30" s="16">
        <v>6168253</v>
      </c>
      <c r="B30" s="16" t="s">
        <v>152</v>
      </c>
      <c r="C30" s="16" t="s">
        <v>153</v>
      </c>
      <c r="D30" s="17" t="s">
        <v>154</v>
      </c>
      <c r="E30" s="18">
        <v>2009530610</v>
      </c>
      <c r="F30" s="18">
        <v>8</v>
      </c>
      <c r="G30" s="16" t="s">
        <v>155</v>
      </c>
      <c r="H30" s="15" t="s">
        <v>30</v>
      </c>
      <c r="I30" s="16" t="s">
        <v>36</v>
      </c>
      <c r="J30" s="15" t="s">
        <v>37</v>
      </c>
      <c r="K30" s="15" t="s">
        <v>31</v>
      </c>
      <c r="L30" s="19" t="s">
        <v>32</v>
      </c>
      <c r="M30" s="19" t="s">
        <v>32</v>
      </c>
      <c r="N30" s="19">
        <v>0.41666666666666669</v>
      </c>
      <c r="O30" s="19">
        <v>0.79166666666666663</v>
      </c>
      <c r="P30" s="19">
        <v>0.41666666666666669</v>
      </c>
      <c r="Q30" s="19">
        <v>0.79166666666666663</v>
      </c>
      <c r="R30" s="19">
        <v>0.41666666666666669</v>
      </c>
      <c r="S30" s="19">
        <v>0.79166666666666663</v>
      </c>
      <c r="T30" s="19">
        <v>0.41666666666666669</v>
      </c>
      <c r="U30" s="19">
        <v>0.79166666666666663</v>
      </c>
      <c r="V30" s="19">
        <v>0.41666666666666669</v>
      </c>
      <c r="W30" s="19">
        <v>0.79166666666666663</v>
      </c>
      <c r="X30" s="19" t="s">
        <v>32</v>
      </c>
      <c r="Y30" s="19" t="s">
        <v>32</v>
      </c>
      <c r="Z30" s="5">
        <v>364</v>
      </c>
      <c r="AA30" s="6" t="s">
        <v>199</v>
      </c>
      <c r="AB30" s="14">
        <v>42.499999999999993</v>
      </c>
    </row>
    <row r="31" spans="1:28" x14ac:dyDescent="0.25">
      <c r="A31" s="16">
        <v>6168271</v>
      </c>
      <c r="B31" s="16" t="s">
        <v>156</v>
      </c>
      <c r="C31" s="16" t="s">
        <v>157</v>
      </c>
      <c r="D31" s="17" t="s">
        <v>158</v>
      </c>
      <c r="E31" s="18">
        <v>2009531855</v>
      </c>
      <c r="F31" s="18">
        <v>8</v>
      </c>
      <c r="G31" s="16" t="s">
        <v>159</v>
      </c>
      <c r="H31" s="15" t="s">
        <v>30</v>
      </c>
      <c r="I31" s="16" t="s">
        <v>36</v>
      </c>
      <c r="J31" s="15" t="s">
        <v>37</v>
      </c>
      <c r="K31" s="15" t="s">
        <v>31</v>
      </c>
      <c r="L31" s="19" t="s">
        <v>32</v>
      </c>
      <c r="M31" s="19" t="s">
        <v>32</v>
      </c>
      <c r="N31" s="19">
        <v>0.375</v>
      </c>
      <c r="O31" s="19">
        <v>0.75</v>
      </c>
      <c r="P31" s="19">
        <v>0.375</v>
      </c>
      <c r="Q31" s="19">
        <v>0.75</v>
      </c>
      <c r="R31" s="19">
        <v>0.375</v>
      </c>
      <c r="S31" s="19">
        <v>0.75</v>
      </c>
      <c r="T31" s="19">
        <v>0.375</v>
      </c>
      <c r="U31" s="19">
        <v>0.75</v>
      </c>
      <c r="V31" s="19">
        <v>0.375</v>
      </c>
      <c r="W31" s="19">
        <v>0.75</v>
      </c>
      <c r="X31" s="19" t="s">
        <v>32</v>
      </c>
      <c r="Y31" s="19" t="s">
        <v>32</v>
      </c>
      <c r="Z31" s="5">
        <v>364</v>
      </c>
      <c r="AA31" s="6" t="s">
        <v>199</v>
      </c>
      <c r="AB31" s="14">
        <v>42.5</v>
      </c>
    </row>
    <row r="32" spans="1:28" x14ac:dyDescent="0.25">
      <c r="A32" s="16">
        <v>6210804</v>
      </c>
      <c r="B32" s="16" t="s">
        <v>160</v>
      </c>
      <c r="C32" s="16" t="s">
        <v>161</v>
      </c>
      <c r="D32" s="17" t="s">
        <v>162</v>
      </c>
      <c r="E32" s="18">
        <v>2009531081</v>
      </c>
      <c r="F32" s="18">
        <v>9</v>
      </c>
      <c r="G32" s="16" t="s">
        <v>163</v>
      </c>
      <c r="H32" s="15" t="s">
        <v>30</v>
      </c>
      <c r="I32" s="16" t="s">
        <v>36</v>
      </c>
      <c r="J32" s="15" t="s">
        <v>37</v>
      </c>
      <c r="K32" s="15" t="s">
        <v>31</v>
      </c>
      <c r="L32" s="19" t="s">
        <v>32</v>
      </c>
      <c r="M32" s="19" t="s">
        <v>32</v>
      </c>
      <c r="N32" s="19">
        <v>0.375</v>
      </c>
      <c r="O32" s="19">
        <v>0.75</v>
      </c>
      <c r="P32" s="19">
        <v>0.375</v>
      </c>
      <c r="Q32" s="19">
        <v>0.75</v>
      </c>
      <c r="R32" s="19">
        <v>0.375</v>
      </c>
      <c r="S32" s="19">
        <v>0.75</v>
      </c>
      <c r="T32" s="19">
        <v>0.375</v>
      </c>
      <c r="U32" s="19">
        <v>0.75</v>
      </c>
      <c r="V32" s="19">
        <v>0.375</v>
      </c>
      <c r="W32" s="19">
        <v>0.75</v>
      </c>
      <c r="X32" s="19" t="s">
        <v>32</v>
      </c>
      <c r="Y32" s="19" t="s">
        <v>32</v>
      </c>
      <c r="Z32" s="5">
        <v>322</v>
      </c>
      <c r="AA32" s="6" t="s">
        <v>197</v>
      </c>
      <c r="AB32" s="14">
        <v>42.5</v>
      </c>
    </row>
    <row r="33" spans="1:28" x14ac:dyDescent="0.25">
      <c r="A33" s="16">
        <v>6210805</v>
      </c>
      <c r="B33" s="16" t="s">
        <v>164</v>
      </c>
      <c r="C33" s="16" t="s">
        <v>165</v>
      </c>
      <c r="D33" s="17" t="s">
        <v>166</v>
      </c>
      <c r="E33" s="18">
        <v>2009532262</v>
      </c>
      <c r="F33" s="18">
        <v>9</v>
      </c>
      <c r="G33" s="16" t="s">
        <v>167</v>
      </c>
      <c r="H33" s="15" t="s">
        <v>30</v>
      </c>
      <c r="I33" s="16" t="s">
        <v>35</v>
      </c>
      <c r="J33" s="15" t="s">
        <v>37</v>
      </c>
      <c r="K33" s="15" t="s">
        <v>31</v>
      </c>
      <c r="L33" s="19" t="s">
        <v>32</v>
      </c>
      <c r="M33" s="19" t="s">
        <v>32</v>
      </c>
      <c r="N33" s="19">
        <v>0.375</v>
      </c>
      <c r="O33" s="19">
        <v>0.75</v>
      </c>
      <c r="P33" s="19">
        <v>0.375</v>
      </c>
      <c r="Q33" s="19">
        <v>0.75</v>
      </c>
      <c r="R33" s="19">
        <v>0.375</v>
      </c>
      <c r="S33" s="19">
        <v>0.75</v>
      </c>
      <c r="T33" s="19">
        <v>0.375</v>
      </c>
      <c r="U33" s="19">
        <v>0.75</v>
      </c>
      <c r="V33" s="19">
        <v>0.375</v>
      </c>
      <c r="W33" s="19">
        <v>0.75</v>
      </c>
      <c r="X33" s="19" t="s">
        <v>32</v>
      </c>
      <c r="Y33" s="19" t="s">
        <v>32</v>
      </c>
      <c r="Z33" s="5">
        <v>322</v>
      </c>
      <c r="AA33" s="6" t="s">
        <v>197</v>
      </c>
      <c r="AB33" s="14">
        <v>42.5</v>
      </c>
    </row>
    <row r="34" spans="1:28" x14ac:dyDescent="0.25">
      <c r="A34" s="16">
        <v>6210816</v>
      </c>
      <c r="B34" s="16" t="s">
        <v>168</v>
      </c>
      <c r="C34" s="16" t="s">
        <v>169</v>
      </c>
      <c r="D34" s="17" t="s">
        <v>170</v>
      </c>
      <c r="E34" s="18">
        <v>2009532048</v>
      </c>
      <c r="F34" s="18">
        <v>9</v>
      </c>
      <c r="G34" s="16" t="s">
        <v>171</v>
      </c>
      <c r="H34" s="15" t="s">
        <v>30</v>
      </c>
      <c r="I34" s="16" t="s">
        <v>36</v>
      </c>
      <c r="J34" s="15" t="s">
        <v>37</v>
      </c>
      <c r="K34" s="15" t="s">
        <v>31</v>
      </c>
      <c r="L34" s="19" t="s">
        <v>32</v>
      </c>
      <c r="M34" s="19" t="s">
        <v>32</v>
      </c>
      <c r="N34" s="19">
        <v>0.375</v>
      </c>
      <c r="O34" s="19">
        <v>0.75</v>
      </c>
      <c r="P34" s="19">
        <v>0.375</v>
      </c>
      <c r="Q34" s="19">
        <v>0.75</v>
      </c>
      <c r="R34" s="19">
        <v>0.375</v>
      </c>
      <c r="S34" s="19">
        <v>0.75</v>
      </c>
      <c r="T34" s="19">
        <v>0.375</v>
      </c>
      <c r="U34" s="19">
        <v>0.75</v>
      </c>
      <c r="V34" s="19">
        <v>0.375</v>
      </c>
      <c r="W34" s="19">
        <v>0.75</v>
      </c>
      <c r="X34" s="19" t="s">
        <v>32</v>
      </c>
      <c r="Y34" s="19" t="s">
        <v>32</v>
      </c>
      <c r="Z34" s="5">
        <v>322</v>
      </c>
      <c r="AA34" s="6" t="s">
        <v>197</v>
      </c>
      <c r="AB34" s="14">
        <v>42.5</v>
      </c>
    </row>
    <row r="35" spans="1:28" x14ac:dyDescent="0.25">
      <c r="A35" s="16">
        <v>6210817</v>
      </c>
      <c r="B35" s="16" t="s">
        <v>172</v>
      </c>
      <c r="C35" s="16" t="s">
        <v>173</v>
      </c>
      <c r="D35" s="17" t="s">
        <v>174</v>
      </c>
      <c r="E35" s="18">
        <v>2009531362</v>
      </c>
      <c r="F35" s="18">
        <v>9</v>
      </c>
      <c r="G35" s="16" t="s">
        <v>175</v>
      </c>
      <c r="H35" s="15" t="s">
        <v>30</v>
      </c>
      <c r="I35" s="16" t="s">
        <v>36</v>
      </c>
      <c r="J35" s="15" t="s">
        <v>37</v>
      </c>
      <c r="K35" s="15" t="s">
        <v>31</v>
      </c>
      <c r="L35" s="19" t="s">
        <v>32</v>
      </c>
      <c r="M35" s="19" t="s">
        <v>32</v>
      </c>
      <c r="N35" s="19">
        <v>0.41666666666666663</v>
      </c>
      <c r="O35" s="19">
        <v>0.79166666666666674</v>
      </c>
      <c r="P35" s="19">
        <v>0.41666666666666663</v>
      </c>
      <c r="Q35" s="19">
        <v>0.79166666666666674</v>
      </c>
      <c r="R35" s="19">
        <v>0.41666666666666663</v>
      </c>
      <c r="S35" s="19">
        <v>0.79166666666666674</v>
      </c>
      <c r="T35" s="19">
        <v>0.41666666666666663</v>
      </c>
      <c r="U35" s="19">
        <v>0.79166666666666674</v>
      </c>
      <c r="V35" s="19">
        <v>0.41666666666666663</v>
      </c>
      <c r="W35" s="19">
        <v>0.79166666666666674</v>
      </c>
      <c r="X35" s="19" t="s">
        <v>32</v>
      </c>
      <c r="Y35" s="19" t="s">
        <v>32</v>
      </c>
      <c r="Z35" s="5">
        <v>322</v>
      </c>
      <c r="AA35" s="6" t="s">
        <v>197</v>
      </c>
      <c r="AB35" s="14">
        <v>42.500000000000014</v>
      </c>
    </row>
    <row r="36" spans="1:28" x14ac:dyDescent="0.25">
      <c r="A36" s="16">
        <v>4804998</v>
      </c>
      <c r="B36" s="16" t="s">
        <v>176</v>
      </c>
      <c r="C36" s="16" t="s">
        <v>186</v>
      </c>
      <c r="D36" s="17" t="s">
        <v>187</v>
      </c>
      <c r="E36" s="18">
        <v>2009531206</v>
      </c>
      <c r="F36" s="18">
        <v>9</v>
      </c>
      <c r="G36" s="16" t="s">
        <v>177</v>
      </c>
      <c r="H36" s="15" t="s">
        <v>30</v>
      </c>
      <c r="I36" s="16" t="s">
        <v>35</v>
      </c>
      <c r="J36" s="15" t="s">
        <v>37</v>
      </c>
      <c r="K36" s="15" t="s">
        <v>31</v>
      </c>
      <c r="L36" s="19" t="s">
        <v>32</v>
      </c>
      <c r="M36" s="19" t="s">
        <v>32</v>
      </c>
      <c r="N36" s="19">
        <v>0.33333333333333331</v>
      </c>
      <c r="O36" s="19">
        <v>0.625</v>
      </c>
      <c r="P36" s="19">
        <v>0.33333333333333331</v>
      </c>
      <c r="Q36" s="19">
        <v>0.66666666666666663</v>
      </c>
      <c r="R36" s="19">
        <v>0.33333333333333331</v>
      </c>
      <c r="S36" s="19">
        <v>0.70833333333333337</v>
      </c>
      <c r="T36" s="19">
        <v>0.33333333333333331</v>
      </c>
      <c r="U36" s="19">
        <v>0.625</v>
      </c>
      <c r="V36" s="19">
        <v>0.33333333333333331</v>
      </c>
      <c r="W36" s="19">
        <v>0.625</v>
      </c>
      <c r="X36" s="19" t="s">
        <v>32</v>
      </c>
      <c r="Y36" s="19" t="s">
        <v>32</v>
      </c>
      <c r="Z36" s="5">
        <v>1552</v>
      </c>
      <c r="AA36" s="6" t="s">
        <v>48</v>
      </c>
      <c r="AB36" s="14">
        <v>35.500000000000007</v>
      </c>
    </row>
    <row r="37" spans="1:28" x14ac:dyDescent="0.25">
      <c r="A37" s="16">
        <v>5160547</v>
      </c>
      <c r="B37" s="16" t="s">
        <v>178</v>
      </c>
      <c r="C37" s="16" t="s">
        <v>188</v>
      </c>
      <c r="D37" s="17" t="s">
        <v>189</v>
      </c>
      <c r="E37" s="18">
        <v>2009530117</v>
      </c>
      <c r="F37" s="18">
        <v>9</v>
      </c>
      <c r="G37" s="16" t="s">
        <v>179</v>
      </c>
      <c r="H37" s="15" t="s">
        <v>30</v>
      </c>
      <c r="I37" s="16" t="s">
        <v>35</v>
      </c>
      <c r="J37" s="15" t="s">
        <v>37</v>
      </c>
      <c r="K37" s="15" t="s">
        <v>31</v>
      </c>
      <c r="L37" s="19" t="s">
        <v>32</v>
      </c>
      <c r="M37" s="19" t="s">
        <v>32</v>
      </c>
      <c r="N37" s="19">
        <v>0.375</v>
      </c>
      <c r="O37" s="19">
        <v>0.75</v>
      </c>
      <c r="P37" s="19">
        <v>0.375</v>
      </c>
      <c r="Q37" s="19">
        <v>0.75</v>
      </c>
      <c r="R37" s="19">
        <v>0.375</v>
      </c>
      <c r="S37" s="19">
        <v>0.75</v>
      </c>
      <c r="T37" s="19">
        <v>0.375</v>
      </c>
      <c r="U37" s="19">
        <v>0.75</v>
      </c>
      <c r="V37" s="19">
        <v>0.375</v>
      </c>
      <c r="W37" s="19">
        <v>0.75</v>
      </c>
      <c r="X37" s="19" t="s">
        <v>32</v>
      </c>
      <c r="Y37" s="19" t="s">
        <v>32</v>
      </c>
      <c r="Z37" s="5">
        <v>1197</v>
      </c>
      <c r="AA37" s="6" t="s">
        <v>48</v>
      </c>
      <c r="AB37" s="14">
        <v>42.5</v>
      </c>
    </row>
    <row r="38" spans="1:28" x14ac:dyDescent="0.25">
      <c r="A38" s="16">
        <v>5160543</v>
      </c>
      <c r="B38" s="16" t="s">
        <v>180</v>
      </c>
      <c r="C38" s="16" t="s">
        <v>190</v>
      </c>
      <c r="D38" s="17" t="s">
        <v>191</v>
      </c>
      <c r="E38" s="18">
        <v>2009531626</v>
      </c>
      <c r="F38" s="18">
        <v>9</v>
      </c>
      <c r="G38" s="16" t="s">
        <v>181</v>
      </c>
      <c r="H38" s="15" t="s">
        <v>30</v>
      </c>
      <c r="I38" s="16" t="s">
        <v>35</v>
      </c>
      <c r="J38" s="15" t="s">
        <v>37</v>
      </c>
      <c r="K38" s="15" t="s">
        <v>31</v>
      </c>
      <c r="L38" s="19" t="s">
        <v>32</v>
      </c>
      <c r="M38" s="19" t="s">
        <v>32</v>
      </c>
      <c r="N38" s="19">
        <v>0.375</v>
      </c>
      <c r="O38" s="19">
        <v>0.75</v>
      </c>
      <c r="P38" s="19">
        <v>0.375</v>
      </c>
      <c r="Q38" s="19">
        <v>0.75</v>
      </c>
      <c r="R38" s="19">
        <v>0.375</v>
      </c>
      <c r="S38" s="19">
        <v>0.75</v>
      </c>
      <c r="T38" s="19">
        <v>0.375</v>
      </c>
      <c r="U38" s="19">
        <v>0.75</v>
      </c>
      <c r="V38" s="19">
        <v>0.375</v>
      </c>
      <c r="W38" s="19">
        <v>0.75</v>
      </c>
      <c r="X38" s="19" t="s">
        <v>32</v>
      </c>
      <c r="Y38" s="19" t="s">
        <v>32</v>
      </c>
      <c r="Z38" s="5">
        <v>1197</v>
      </c>
      <c r="AA38" s="6" t="s">
        <v>48</v>
      </c>
      <c r="AB38" s="14">
        <v>42.5</v>
      </c>
    </row>
    <row r="39" spans="1:28" x14ac:dyDescent="0.25">
      <c r="A39" s="16">
        <v>4743755</v>
      </c>
      <c r="B39" s="16" t="s">
        <v>182</v>
      </c>
      <c r="C39" s="16" t="s">
        <v>183</v>
      </c>
      <c r="D39" s="17" t="s">
        <v>184</v>
      </c>
      <c r="E39" s="18">
        <v>2009532271</v>
      </c>
      <c r="F39" s="18">
        <v>9</v>
      </c>
      <c r="G39" s="16" t="s">
        <v>185</v>
      </c>
      <c r="H39" s="15" t="s">
        <v>30</v>
      </c>
      <c r="I39" s="16" t="s">
        <v>192</v>
      </c>
      <c r="J39" s="15" t="s">
        <v>37</v>
      </c>
      <c r="K39" s="15" t="s">
        <v>31</v>
      </c>
      <c r="L39" s="19" t="s">
        <v>32</v>
      </c>
      <c r="M39" s="19" t="s">
        <v>32</v>
      </c>
      <c r="N39" s="19">
        <v>0.375</v>
      </c>
      <c r="O39" s="19">
        <v>0.75</v>
      </c>
      <c r="P39" s="19">
        <v>0.375</v>
      </c>
      <c r="Q39" s="19">
        <v>0.75</v>
      </c>
      <c r="R39" s="19">
        <v>0.375</v>
      </c>
      <c r="S39" s="19">
        <v>0.75</v>
      </c>
      <c r="T39" s="19">
        <v>0.375</v>
      </c>
      <c r="U39" s="19">
        <v>0.75</v>
      </c>
      <c r="V39" s="19">
        <v>0.375</v>
      </c>
      <c r="W39" s="19">
        <v>0.75</v>
      </c>
      <c r="X39" s="19" t="s">
        <v>32</v>
      </c>
      <c r="Y39" s="19" t="s">
        <v>32</v>
      </c>
      <c r="Z39" s="5">
        <v>1596</v>
      </c>
      <c r="AA39" s="6" t="s">
        <v>48</v>
      </c>
      <c r="AB39" s="14">
        <v>42.5</v>
      </c>
    </row>
    <row r="40" spans="1:28" x14ac:dyDescent="0.25">
      <c r="A40" s="16">
        <v>6509285</v>
      </c>
      <c r="B40" s="16" t="s">
        <v>200</v>
      </c>
      <c r="C40" s="16" t="s">
        <v>201</v>
      </c>
      <c r="D40" s="17" t="s">
        <v>202</v>
      </c>
      <c r="E40" s="18">
        <v>2009530439</v>
      </c>
      <c r="F40" s="18">
        <v>10</v>
      </c>
      <c r="G40" s="16" t="s">
        <v>203</v>
      </c>
      <c r="H40" s="15" t="s">
        <v>30</v>
      </c>
      <c r="I40" s="16" t="s">
        <v>35</v>
      </c>
      <c r="J40" s="15" t="s">
        <v>37</v>
      </c>
      <c r="K40" s="15" t="s">
        <v>204</v>
      </c>
      <c r="L40" s="19" t="s">
        <v>32</v>
      </c>
      <c r="M40" s="19" t="s">
        <v>32</v>
      </c>
      <c r="N40" s="19">
        <v>0.33333333333333331</v>
      </c>
      <c r="O40" s="19">
        <v>0.70833333333333337</v>
      </c>
      <c r="P40" s="19">
        <v>0.33333333333333331</v>
      </c>
      <c r="Q40" s="19">
        <v>0.70833333333333337</v>
      </c>
      <c r="R40" s="19">
        <v>0.33333333333333331</v>
      </c>
      <c r="S40" s="19">
        <v>0.70833333333333337</v>
      </c>
      <c r="T40" s="19">
        <v>0.33333333333333331</v>
      </c>
      <c r="U40" s="19">
        <v>0.70833333333333337</v>
      </c>
      <c r="V40" s="19">
        <v>0.33333333333333331</v>
      </c>
      <c r="W40" s="19">
        <v>0.70833333333333337</v>
      </c>
      <c r="X40" s="19" t="s">
        <v>32</v>
      </c>
      <c r="Y40" s="19" t="s">
        <v>32</v>
      </c>
      <c r="Z40" s="5">
        <v>35</v>
      </c>
      <c r="AA40" s="6" t="s">
        <v>205</v>
      </c>
      <c r="AB40" s="14">
        <v>42.500000000000007</v>
      </c>
    </row>
    <row r="41" spans="1:28" x14ac:dyDescent="0.25">
      <c r="A41" s="16">
        <v>6513519</v>
      </c>
      <c r="B41" s="16" t="s">
        <v>206</v>
      </c>
      <c r="C41" s="16" t="s">
        <v>207</v>
      </c>
      <c r="D41" s="17" t="s">
        <v>208</v>
      </c>
      <c r="E41" s="18">
        <v>2009531998</v>
      </c>
      <c r="F41" s="18">
        <v>10</v>
      </c>
      <c r="G41" s="16" t="s">
        <v>209</v>
      </c>
      <c r="H41" s="15" t="s">
        <v>30</v>
      </c>
      <c r="I41" s="16" t="s">
        <v>35</v>
      </c>
      <c r="J41" s="15" t="s">
        <v>37</v>
      </c>
      <c r="K41" s="15" t="s">
        <v>204</v>
      </c>
      <c r="L41" s="19" t="s">
        <v>32</v>
      </c>
      <c r="M41" s="19" t="s">
        <v>32</v>
      </c>
      <c r="N41" s="19">
        <v>0.39583333333333331</v>
      </c>
      <c r="O41" s="19">
        <v>0.75</v>
      </c>
      <c r="P41" s="19">
        <v>0.39583333333333331</v>
      </c>
      <c r="Q41" s="19">
        <v>0.75</v>
      </c>
      <c r="R41" s="19">
        <v>0.39583333333333331</v>
      </c>
      <c r="S41" s="19">
        <v>0.75</v>
      </c>
      <c r="T41" s="19">
        <v>0.39583333333333331</v>
      </c>
      <c r="U41" s="19">
        <v>0.75</v>
      </c>
      <c r="V41" s="19">
        <v>0.39583333333333331</v>
      </c>
      <c r="W41" s="19">
        <v>0.75</v>
      </c>
      <c r="X41" s="19" t="s">
        <v>32</v>
      </c>
      <c r="Y41" s="19" t="s">
        <v>32</v>
      </c>
      <c r="Z41" s="5">
        <v>33</v>
      </c>
      <c r="AA41" s="6" t="s">
        <v>205</v>
      </c>
      <c r="AB41" s="14">
        <v>40.000000000000007</v>
      </c>
    </row>
    <row r="42" spans="1:28" x14ac:dyDescent="0.25">
      <c r="A42" s="16">
        <v>5091033</v>
      </c>
      <c r="B42" s="16" t="s">
        <v>210</v>
      </c>
      <c r="C42" s="16" t="s">
        <v>211</v>
      </c>
      <c r="D42" s="17" t="s">
        <v>212</v>
      </c>
      <c r="E42" s="18">
        <v>2009531893</v>
      </c>
      <c r="F42" s="18">
        <v>10</v>
      </c>
      <c r="G42" s="16" t="s">
        <v>213</v>
      </c>
      <c r="H42" s="15" t="s">
        <v>30</v>
      </c>
      <c r="I42" s="16" t="s">
        <v>35</v>
      </c>
      <c r="J42" s="15" t="s">
        <v>37</v>
      </c>
      <c r="K42" s="15" t="s">
        <v>204</v>
      </c>
      <c r="L42" s="19" t="s">
        <v>32</v>
      </c>
      <c r="M42" s="19" t="s">
        <v>32</v>
      </c>
      <c r="N42" s="19">
        <v>0.41666666666666669</v>
      </c>
      <c r="O42" s="19">
        <v>0.79166666666666663</v>
      </c>
      <c r="P42" s="19">
        <v>0.41666666666666669</v>
      </c>
      <c r="Q42" s="19">
        <v>0.79166666666666663</v>
      </c>
      <c r="R42" s="19">
        <v>0.41666666666666669</v>
      </c>
      <c r="S42" s="19">
        <v>0.79166666666666663</v>
      </c>
      <c r="T42" s="19">
        <v>0.41666666666666669</v>
      </c>
      <c r="U42" s="19">
        <v>0.79166666666666663</v>
      </c>
      <c r="V42" s="19">
        <v>0.41666666666666669</v>
      </c>
      <c r="W42" s="19">
        <v>0.79166666666666663</v>
      </c>
      <c r="X42" s="19" t="s">
        <v>32</v>
      </c>
      <c r="Y42" s="19" t="s">
        <v>32</v>
      </c>
      <c r="Z42" s="5">
        <v>35</v>
      </c>
      <c r="AA42" s="6" t="s">
        <v>205</v>
      </c>
      <c r="AB42" s="14">
        <v>42.499999999999993</v>
      </c>
    </row>
    <row r="43" spans="1:28" x14ac:dyDescent="0.25">
      <c r="A43" s="16">
        <v>6511345</v>
      </c>
      <c r="B43" s="16" t="s">
        <v>214</v>
      </c>
      <c r="C43" s="16" t="s">
        <v>215</v>
      </c>
      <c r="D43" s="17" t="s">
        <v>216</v>
      </c>
      <c r="E43" s="18">
        <v>2009530682</v>
      </c>
      <c r="F43" s="18">
        <v>10</v>
      </c>
      <c r="G43" s="16" t="s">
        <v>217</v>
      </c>
      <c r="H43" s="15" t="s">
        <v>30</v>
      </c>
      <c r="I43" s="16" t="s">
        <v>35</v>
      </c>
      <c r="J43" s="15" t="s">
        <v>37</v>
      </c>
      <c r="K43" s="15" t="s">
        <v>204</v>
      </c>
      <c r="L43" s="19" t="s">
        <v>32</v>
      </c>
      <c r="M43" s="19" t="s">
        <v>32</v>
      </c>
      <c r="N43" s="19">
        <v>0.41666666666666669</v>
      </c>
      <c r="O43" s="19">
        <v>0.79166666666666663</v>
      </c>
      <c r="P43" s="19">
        <v>0.41666666666666669</v>
      </c>
      <c r="Q43" s="19">
        <v>0.79166666666666663</v>
      </c>
      <c r="R43" s="19">
        <v>0.41666666666666669</v>
      </c>
      <c r="S43" s="19">
        <v>0.79166666666666663</v>
      </c>
      <c r="T43" s="19">
        <v>0.41666666666666669</v>
      </c>
      <c r="U43" s="19">
        <v>0.79166666666666663</v>
      </c>
      <c r="V43" s="19">
        <v>0.41666666666666669</v>
      </c>
      <c r="W43" s="19">
        <v>0.79166666666666663</v>
      </c>
      <c r="X43" s="19" t="s">
        <v>32</v>
      </c>
      <c r="Y43" s="19" t="s">
        <v>32</v>
      </c>
      <c r="Z43" s="5">
        <v>33</v>
      </c>
      <c r="AA43" s="6" t="s">
        <v>205</v>
      </c>
      <c r="AB43" s="14">
        <v>42.499999999999993</v>
      </c>
    </row>
    <row r="44" spans="1:28" x14ac:dyDescent="0.25">
      <c r="A44" s="16">
        <v>6511279</v>
      </c>
      <c r="B44" s="16" t="s">
        <v>218</v>
      </c>
      <c r="C44" s="16" t="s">
        <v>219</v>
      </c>
      <c r="D44" s="17" t="s">
        <v>220</v>
      </c>
      <c r="E44" s="18">
        <v>2009530474</v>
      </c>
      <c r="F44" s="18">
        <v>10</v>
      </c>
      <c r="G44" s="16" t="s">
        <v>221</v>
      </c>
      <c r="H44" s="15" t="s">
        <v>30</v>
      </c>
      <c r="I44" s="16" t="s">
        <v>35</v>
      </c>
      <c r="J44" s="15" t="s">
        <v>37</v>
      </c>
      <c r="K44" s="15" t="s">
        <v>204</v>
      </c>
      <c r="L44" s="19" t="s">
        <v>32</v>
      </c>
      <c r="M44" s="19" t="s">
        <v>32</v>
      </c>
      <c r="N44" s="19">
        <v>0.33333333333333331</v>
      </c>
      <c r="O44" s="19">
        <v>0.70833333333333337</v>
      </c>
      <c r="P44" s="19">
        <v>0.33333333333333331</v>
      </c>
      <c r="Q44" s="19">
        <v>0.70833333333333337</v>
      </c>
      <c r="R44" s="19">
        <v>0.33333333333333331</v>
      </c>
      <c r="S44" s="19">
        <v>0.70833333333333337</v>
      </c>
      <c r="T44" s="19">
        <v>0.33333333333333331</v>
      </c>
      <c r="U44" s="19">
        <v>0.70833333333333337</v>
      </c>
      <c r="V44" s="19">
        <v>0.33333333333333331</v>
      </c>
      <c r="W44" s="19">
        <v>0.70833333333333337</v>
      </c>
      <c r="X44" s="19" t="s">
        <v>32</v>
      </c>
      <c r="Y44" s="19" t="s">
        <v>32</v>
      </c>
      <c r="Z44" s="5">
        <v>35</v>
      </c>
      <c r="AA44" s="6" t="s">
        <v>205</v>
      </c>
      <c r="AB44" s="14">
        <v>42.500000000000007</v>
      </c>
    </row>
    <row r="45" spans="1:28" x14ac:dyDescent="0.25">
      <c r="A45" s="16">
        <v>5682324</v>
      </c>
      <c r="B45" s="16" t="s">
        <v>222</v>
      </c>
      <c r="C45" s="16" t="s">
        <v>223</v>
      </c>
      <c r="D45" s="17" t="s">
        <v>224</v>
      </c>
      <c r="E45" s="18">
        <v>2009530866</v>
      </c>
      <c r="F45" s="18">
        <v>10</v>
      </c>
      <c r="G45" s="16" t="s">
        <v>225</v>
      </c>
      <c r="H45" s="15" t="s">
        <v>30</v>
      </c>
      <c r="I45" s="16" t="s">
        <v>35</v>
      </c>
      <c r="J45" s="15" t="s">
        <v>37</v>
      </c>
      <c r="K45" s="15" t="s">
        <v>204</v>
      </c>
      <c r="L45" s="19" t="s">
        <v>32</v>
      </c>
      <c r="M45" s="19" t="s">
        <v>32</v>
      </c>
      <c r="N45" s="19">
        <v>0.33333333333333331</v>
      </c>
      <c r="O45" s="19">
        <v>0.70833333333333337</v>
      </c>
      <c r="P45" s="19">
        <v>0.33333333333333331</v>
      </c>
      <c r="Q45" s="19">
        <v>0.70833333333333337</v>
      </c>
      <c r="R45" s="19">
        <v>0.33333333333333331</v>
      </c>
      <c r="S45" s="19">
        <v>0.70833333333333337</v>
      </c>
      <c r="T45" s="19">
        <v>0.33333333333333331</v>
      </c>
      <c r="U45" s="19">
        <v>0.70833333333333337</v>
      </c>
      <c r="V45" s="19">
        <v>0.33333333333333331</v>
      </c>
      <c r="W45" s="19">
        <v>0.70833333333333337</v>
      </c>
      <c r="X45" s="19" t="s">
        <v>32</v>
      </c>
      <c r="Y45" s="19" t="s">
        <v>32</v>
      </c>
      <c r="Z45" s="5">
        <v>34</v>
      </c>
      <c r="AA45" s="6" t="s">
        <v>205</v>
      </c>
      <c r="AB45" s="14">
        <v>42.500000000000007</v>
      </c>
    </row>
    <row r="46" spans="1:28" x14ac:dyDescent="0.25">
      <c r="A46" s="16">
        <v>4282011</v>
      </c>
      <c r="B46" s="16" t="s">
        <v>226</v>
      </c>
      <c r="C46" s="16" t="s">
        <v>227</v>
      </c>
      <c r="D46" s="17" t="s">
        <v>228</v>
      </c>
      <c r="E46" s="18">
        <v>2009532739</v>
      </c>
      <c r="F46" s="18">
        <v>10</v>
      </c>
      <c r="G46" s="16" t="s">
        <v>229</v>
      </c>
      <c r="H46" s="15" t="s">
        <v>30</v>
      </c>
      <c r="I46" s="16" t="s">
        <v>35</v>
      </c>
      <c r="J46" s="15" t="s">
        <v>37</v>
      </c>
      <c r="K46" s="15" t="s">
        <v>204</v>
      </c>
      <c r="L46" s="19" t="s">
        <v>32</v>
      </c>
      <c r="M46" s="19" t="s">
        <v>32</v>
      </c>
      <c r="N46" s="19">
        <v>0.33333333333333331</v>
      </c>
      <c r="O46" s="19">
        <v>0.70833333333333337</v>
      </c>
      <c r="P46" s="19">
        <v>0.33333333333333331</v>
      </c>
      <c r="Q46" s="19">
        <v>0.70833333333333337</v>
      </c>
      <c r="R46" s="19">
        <v>0.33333333333333331</v>
      </c>
      <c r="S46" s="19">
        <v>0.70833333333333337</v>
      </c>
      <c r="T46" s="19">
        <v>0.33333333333333331</v>
      </c>
      <c r="U46" s="19">
        <v>0.70833333333333337</v>
      </c>
      <c r="V46" s="19">
        <v>0.33333333333333331</v>
      </c>
      <c r="W46" s="19">
        <v>0.70833333333333337</v>
      </c>
      <c r="X46" s="19" t="s">
        <v>32</v>
      </c>
      <c r="Y46" s="19" t="s">
        <v>32</v>
      </c>
      <c r="Z46" s="5">
        <v>35</v>
      </c>
      <c r="AA46" s="6" t="s">
        <v>205</v>
      </c>
      <c r="AB46" s="14">
        <v>42.500000000000007</v>
      </c>
    </row>
    <row r="47" spans="1:28" x14ac:dyDescent="0.25">
      <c r="A47" s="16">
        <v>6511605</v>
      </c>
      <c r="B47" s="16" t="s">
        <v>230</v>
      </c>
      <c r="C47" s="16" t="s">
        <v>231</v>
      </c>
      <c r="D47" s="17" t="s">
        <v>232</v>
      </c>
      <c r="E47" s="18">
        <v>2009530449</v>
      </c>
      <c r="F47" s="18">
        <v>10</v>
      </c>
      <c r="G47" s="16" t="s">
        <v>233</v>
      </c>
      <c r="H47" s="15" t="s">
        <v>30</v>
      </c>
      <c r="I47" s="16" t="s">
        <v>35</v>
      </c>
      <c r="J47" s="15" t="s">
        <v>37</v>
      </c>
      <c r="K47" s="15" t="s">
        <v>204</v>
      </c>
      <c r="L47" s="19" t="s">
        <v>32</v>
      </c>
      <c r="M47" s="19" t="s">
        <v>32</v>
      </c>
      <c r="N47" s="19">
        <v>0.41666666666666669</v>
      </c>
      <c r="O47" s="19">
        <v>0.79166666666666663</v>
      </c>
      <c r="P47" s="19">
        <v>0.41666666666666669</v>
      </c>
      <c r="Q47" s="19">
        <v>0.79166666666666663</v>
      </c>
      <c r="R47" s="19">
        <v>0.41666666666666669</v>
      </c>
      <c r="S47" s="19">
        <v>0.79166666666666663</v>
      </c>
      <c r="T47" s="19">
        <v>0.41666666666666669</v>
      </c>
      <c r="U47" s="19">
        <v>0.79166666666666663</v>
      </c>
      <c r="V47" s="19">
        <v>0.41666666666666669</v>
      </c>
      <c r="W47" s="19">
        <v>0.79166666666666663</v>
      </c>
      <c r="X47" s="19" t="s">
        <v>32</v>
      </c>
      <c r="Y47" s="19" t="s">
        <v>32</v>
      </c>
      <c r="Z47" s="5">
        <v>34</v>
      </c>
      <c r="AA47" s="6" t="s">
        <v>205</v>
      </c>
      <c r="AB47" s="14">
        <v>42.499999999999993</v>
      </c>
    </row>
    <row r="48" spans="1:28" x14ac:dyDescent="0.25">
      <c r="A48" s="16">
        <v>6511609</v>
      </c>
      <c r="B48" s="16" t="s">
        <v>234</v>
      </c>
      <c r="C48" s="16" t="s">
        <v>235</v>
      </c>
      <c r="D48" s="17" t="s">
        <v>236</v>
      </c>
      <c r="E48" s="18">
        <v>2009530769</v>
      </c>
      <c r="F48" s="18">
        <v>10</v>
      </c>
      <c r="G48" s="16" t="s">
        <v>237</v>
      </c>
      <c r="H48" s="15" t="s">
        <v>30</v>
      </c>
      <c r="I48" s="16" t="s">
        <v>35</v>
      </c>
      <c r="J48" s="15" t="s">
        <v>37</v>
      </c>
      <c r="K48" s="15" t="s">
        <v>204</v>
      </c>
      <c r="L48" s="19" t="s">
        <v>32</v>
      </c>
      <c r="M48" s="19" t="s">
        <v>32</v>
      </c>
      <c r="N48" s="19">
        <v>0.41666666666666669</v>
      </c>
      <c r="O48" s="19">
        <v>0.79166666666666663</v>
      </c>
      <c r="P48" s="19">
        <v>0.41666666666666669</v>
      </c>
      <c r="Q48" s="19">
        <v>0.79166666666666663</v>
      </c>
      <c r="R48" s="19">
        <v>0.41666666666666669</v>
      </c>
      <c r="S48" s="19">
        <v>0.79166666666666663</v>
      </c>
      <c r="T48" s="19">
        <v>0.41666666666666669</v>
      </c>
      <c r="U48" s="19">
        <v>0.79166666666666663</v>
      </c>
      <c r="V48" s="19">
        <v>0.41666666666666669</v>
      </c>
      <c r="W48" s="19">
        <v>0.79166666666666663</v>
      </c>
      <c r="X48" s="19" t="s">
        <v>32</v>
      </c>
      <c r="Y48" s="19" t="s">
        <v>32</v>
      </c>
      <c r="Z48" s="5">
        <v>33</v>
      </c>
      <c r="AA48" s="6" t="s">
        <v>205</v>
      </c>
      <c r="AB48" s="14">
        <v>42.499999999999993</v>
      </c>
    </row>
    <row r="49" spans="1:28" x14ac:dyDescent="0.25">
      <c r="A49" s="16">
        <v>6509287</v>
      </c>
      <c r="B49" s="16" t="s">
        <v>238</v>
      </c>
      <c r="C49" s="16" t="s">
        <v>239</v>
      </c>
      <c r="D49" s="17" t="s">
        <v>240</v>
      </c>
      <c r="E49" s="18">
        <v>2009530202</v>
      </c>
      <c r="F49" s="18">
        <v>10</v>
      </c>
      <c r="G49" s="16" t="s">
        <v>241</v>
      </c>
      <c r="H49" s="15" t="s">
        <v>30</v>
      </c>
      <c r="I49" s="16" t="s">
        <v>35</v>
      </c>
      <c r="J49" s="15" t="s">
        <v>37</v>
      </c>
      <c r="K49" s="15" t="s">
        <v>204</v>
      </c>
      <c r="L49" s="19" t="s">
        <v>32</v>
      </c>
      <c r="M49" s="19" t="s">
        <v>32</v>
      </c>
      <c r="N49" s="19">
        <v>0.41666666666666669</v>
      </c>
      <c r="O49" s="19">
        <v>0.79166666666666663</v>
      </c>
      <c r="P49" s="19">
        <v>0.41666666666666669</v>
      </c>
      <c r="Q49" s="19">
        <v>0.79166666666666663</v>
      </c>
      <c r="R49" s="19">
        <v>0.41666666666666669</v>
      </c>
      <c r="S49" s="19">
        <v>0.79166666666666663</v>
      </c>
      <c r="T49" s="19">
        <v>0.41666666666666669</v>
      </c>
      <c r="U49" s="19">
        <v>0.79166666666666663</v>
      </c>
      <c r="V49" s="19">
        <v>0.41666666666666669</v>
      </c>
      <c r="W49" s="19">
        <v>0.79166666666666663</v>
      </c>
      <c r="X49" s="19" t="s">
        <v>32</v>
      </c>
      <c r="Y49" s="19" t="s">
        <v>32</v>
      </c>
      <c r="Z49" s="5">
        <v>35</v>
      </c>
      <c r="AA49" s="6" t="s">
        <v>205</v>
      </c>
      <c r="AB49" s="14">
        <v>42.499999999999993</v>
      </c>
    </row>
    <row r="50" spans="1:28" x14ac:dyDescent="0.25">
      <c r="A50" s="16">
        <v>6511512</v>
      </c>
      <c r="B50" s="16" t="s">
        <v>242</v>
      </c>
      <c r="C50" s="16" t="s">
        <v>243</v>
      </c>
      <c r="D50" s="17" t="s">
        <v>244</v>
      </c>
      <c r="E50" s="18">
        <v>2009531693</v>
      </c>
      <c r="F50" s="18">
        <v>10</v>
      </c>
      <c r="G50" s="16" t="s">
        <v>245</v>
      </c>
      <c r="H50" s="15" t="s">
        <v>30</v>
      </c>
      <c r="I50" s="16" t="s">
        <v>35</v>
      </c>
      <c r="J50" s="15" t="s">
        <v>37</v>
      </c>
      <c r="K50" s="15" t="s">
        <v>204</v>
      </c>
      <c r="L50" s="19" t="s">
        <v>32</v>
      </c>
      <c r="M50" s="19" t="s">
        <v>32</v>
      </c>
      <c r="N50" s="19">
        <v>0.41666666666666669</v>
      </c>
      <c r="O50" s="19">
        <v>0.79166666666666663</v>
      </c>
      <c r="P50" s="19">
        <v>0.41666666666666669</v>
      </c>
      <c r="Q50" s="19">
        <v>0.79166666666666663</v>
      </c>
      <c r="R50" s="19">
        <v>0.41666666666666669</v>
      </c>
      <c r="S50" s="19">
        <v>0.79166666666666663</v>
      </c>
      <c r="T50" s="19">
        <v>0.41666666666666669</v>
      </c>
      <c r="U50" s="19">
        <v>0.79166666666666663</v>
      </c>
      <c r="V50" s="19">
        <v>0.41666666666666669</v>
      </c>
      <c r="W50" s="19">
        <v>0.79166666666666663</v>
      </c>
      <c r="X50" s="19" t="s">
        <v>32</v>
      </c>
      <c r="Y50" s="19" t="s">
        <v>32</v>
      </c>
      <c r="Z50" s="5">
        <v>35</v>
      </c>
      <c r="AA50" s="6" t="s">
        <v>205</v>
      </c>
      <c r="AB50" s="14">
        <v>42.499999999999993</v>
      </c>
    </row>
  </sheetData>
  <autoFilter ref="A1:AB39" xr:uid="{00000000-0001-0000-0000-000000000000}"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</autoFilter>
  <mergeCells count="21">
    <mergeCell ref="T1:U1"/>
    <mergeCell ref="X1:Y1"/>
    <mergeCell ref="Z1:Z2"/>
    <mergeCell ref="AA1:AA2"/>
    <mergeCell ref="AB1:AB2"/>
    <mergeCell ref="V1:W1"/>
    <mergeCell ref="F1:F2"/>
    <mergeCell ref="G1:G2"/>
    <mergeCell ref="I1:I2"/>
    <mergeCell ref="J1:J2"/>
    <mergeCell ref="H1:H2"/>
    <mergeCell ref="A1:A2"/>
    <mergeCell ref="C1:C2"/>
    <mergeCell ref="D1:D2"/>
    <mergeCell ref="B1:B2"/>
    <mergeCell ref="E1:E2"/>
    <mergeCell ref="L1:M1"/>
    <mergeCell ref="N1:O1"/>
    <mergeCell ref="P1:Q1"/>
    <mergeCell ref="R1:S1"/>
    <mergeCell ref="K1:K2"/>
  </mergeCells>
  <phoneticPr fontId="5" type="noConversion"/>
  <conditionalFormatting sqref="A1:A1048576">
    <cfRule type="duplicateValues" dxfId="23" priority="16"/>
  </conditionalFormatting>
  <conditionalFormatting sqref="A51:A1048576 A1:A2">
    <cfRule type="duplicateValues" dxfId="21" priority="282"/>
    <cfRule type="duplicateValues" dxfId="20" priority="283"/>
    <cfRule type="duplicateValues" dxfId="19" priority="284"/>
  </conditionalFormatting>
  <conditionalFormatting sqref="A3:K39">
    <cfRule type="cellIs" dxfId="18" priority="18" operator="notEqual">
      <formula>""</formula>
    </cfRule>
  </conditionalFormatting>
  <conditionalFormatting sqref="A3:AB39">
    <cfRule type="cellIs" dxfId="17" priority="21" operator="equal">
      <formula>""</formula>
    </cfRule>
  </conditionalFormatting>
  <conditionalFormatting sqref="L3:Y39">
    <cfRule type="cellIs" dxfId="16" priority="7" operator="equal">
      <formula>"OFF"</formula>
    </cfRule>
    <cfRule type="expression" dxfId="15" priority="8">
      <formula>IF(AND(L3&lt;&gt;"",L3&gt;=0),TRUE,FALSE)</formula>
    </cfRule>
  </conditionalFormatting>
  <conditionalFormatting sqref="Z3:AB39">
    <cfRule type="cellIs" dxfId="14" priority="6" operator="notEqual">
      <formula>""</formula>
    </cfRule>
  </conditionalFormatting>
  <conditionalFormatting sqref="A40:K50">
    <cfRule type="cellIs" dxfId="4" priority="4" operator="notEqual">
      <formula>""</formula>
    </cfRule>
  </conditionalFormatting>
  <conditionalFormatting sqref="A40:AB50">
    <cfRule type="cellIs" dxfId="3" priority="5" operator="equal">
      <formula>""</formula>
    </cfRule>
  </conditionalFormatting>
  <conditionalFormatting sqref="L40:Y50">
    <cfRule type="cellIs" dxfId="2" priority="2" operator="equal">
      <formula>"OFF"</formula>
    </cfRule>
    <cfRule type="expression" dxfId="1" priority="3">
      <formula>IF(AND(L40&lt;&gt;"",L40&gt;=0),TRUE,FALSE)</formula>
    </cfRule>
  </conditionalFormatting>
  <conditionalFormatting sqref="Z40:AB50">
    <cfRule type="cellIs" dxfId="0" priority="1" operator="notEqual">
      <formula>""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B61D4-E240-4ABF-BC29-ECAC3BBEE1DB}">
  <dimension ref="A1:Y5"/>
  <sheetViews>
    <sheetView showGridLines="0" workbookViewId="0">
      <selection activeCell="D5" sqref="D5"/>
    </sheetView>
  </sheetViews>
  <sheetFormatPr defaultRowHeight="15" x14ac:dyDescent="0.25"/>
  <cols>
    <col min="1" max="1" width="8" bestFit="1" customWidth="1"/>
    <col min="2" max="2" width="16" bestFit="1" customWidth="1"/>
    <col min="3" max="3" width="8.28515625" bestFit="1" customWidth="1"/>
    <col min="4" max="4" width="39" bestFit="1" customWidth="1"/>
    <col min="5" max="5" width="11" bestFit="1" customWidth="1"/>
    <col min="6" max="6" width="6.140625" bestFit="1" customWidth="1"/>
    <col min="7" max="7" width="19.28515625" bestFit="1" customWidth="1"/>
    <col min="8" max="8" width="8.42578125" bestFit="1" customWidth="1"/>
    <col min="9" max="9" width="17.5703125" bestFit="1" customWidth="1"/>
    <col min="10" max="10" width="17.7109375" bestFit="1" customWidth="1"/>
    <col min="11" max="11" width="9.28515625" bestFit="1" customWidth="1"/>
    <col min="12" max="12" width="5.140625" bestFit="1" customWidth="1"/>
    <col min="13" max="13" width="4.42578125" bestFit="1" customWidth="1"/>
    <col min="14" max="14" width="9" bestFit="1" customWidth="1"/>
    <col min="15" max="15" width="7.85546875" bestFit="1" customWidth="1"/>
    <col min="16" max="16" width="9" bestFit="1" customWidth="1"/>
    <col min="17" max="17" width="7.85546875" bestFit="1" customWidth="1"/>
    <col min="18" max="18" width="9" bestFit="1" customWidth="1"/>
    <col min="19" max="19" width="7.85546875" bestFit="1" customWidth="1"/>
    <col min="20" max="20" width="9" bestFit="1" customWidth="1"/>
    <col min="21" max="21" width="7.85546875" bestFit="1" customWidth="1"/>
    <col min="22" max="22" width="9" bestFit="1" customWidth="1"/>
    <col min="23" max="23" width="7.85546875" bestFit="1" customWidth="1"/>
    <col min="24" max="24" width="5.140625" bestFit="1" customWidth="1"/>
    <col min="25" max="25" width="4.42578125" bestFit="1" customWidth="1"/>
  </cols>
  <sheetData>
    <row r="1" spans="1:25" x14ac:dyDescent="0.25">
      <c r="A1" s="22" t="s">
        <v>0</v>
      </c>
      <c r="B1" s="22" t="s">
        <v>1</v>
      </c>
      <c r="C1" s="22" t="s">
        <v>18</v>
      </c>
      <c r="D1" s="22" t="s">
        <v>17</v>
      </c>
      <c r="E1" s="22" t="s">
        <v>19</v>
      </c>
      <c r="F1" s="22" t="s">
        <v>2</v>
      </c>
      <c r="G1" s="22" t="s">
        <v>3</v>
      </c>
      <c r="H1" s="24" t="s">
        <v>26</v>
      </c>
      <c r="I1" s="22" t="s">
        <v>27</v>
      </c>
      <c r="J1" s="22" t="s">
        <v>28</v>
      </c>
      <c r="K1" s="22" t="s">
        <v>4</v>
      </c>
      <c r="L1" s="20" t="s">
        <v>5</v>
      </c>
      <c r="M1" s="21"/>
      <c r="N1" s="20" t="s">
        <v>6</v>
      </c>
      <c r="O1" s="21"/>
      <c r="P1" s="20" t="s">
        <v>7</v>
      </c>
      <c r="Q1" s="21"/>
      <c r="R1" s="20" t="s">
        <v>8</v>
      </c>
      <c r="S1" s="21"/>
      <c r="T1" s="20" t="s">
        <v>9</v>
      </c>
      <c r="U1" s="21"/>
      <c r="V1" s="20" t="s">
        <v>10</v>
      </c>
      <c r="W1" s="21"/>
      <c r="X1" s="20" t="s">
        <v>11</v>
      </c>
      <c r="Y1" s="21"/>
    </row>
    <row r="2" spans="1:25" x14ac:dyDescent="0.25">
      <c r="A2" s="23"/>
      <c r="B2" s="23"/>
      <c r="C2" s="23"/>
      <c r="D2" s="23"/>
      <c r="E2" s="23"/>
      <c r="F2" s="23"/>
      <c r="G2" s="23"/>
      <c r="H2" s="24"/>
      <c r="I2" s="23"/>
      <c r="J2" s="23"/>
      <c r="K2" s="23"/>
      <c r="L2" s="4" t="s">
        <v>15</v>
      </c>
      <c r="M2" s="4" t="s">
        <v>16</v>
      </c>
      <c r="N2" s="4" t="s">
        <v>15</v>
      </c>
      <c r="O2" s="4" t="s">
        <v>16</v>
      </c>
      <c r="P2" s="4" t="s">
        <v>15</v>
      </c>
      <c r="Q2" s="4" t="s">
        <v>16</v>
      </c>
      <c r="R2" s="4" t="s">
        <v>15</v>
      </c>
      <c r="S2" s="4" t="s">
        <v>16</v>
      </c>
      <c r="T2" s="4" t="s">
        <v>15</v>
      </c>
      <c r="U2" s="4" t="s">
        <v>16</v>
      </c>
      <c r="V2" s="4" t="s">
        <v>15</v>
      </c>
      <c r="W2" s="4" t="s">
        <v>16</v>
      </c>
      <c r="X2" s="4" t="s">
        <v>15</v>
      </c>
      <c r="Y2" s="4" t="s">
        <v>16</v>
      </c>
    </row>
    <row r="3" spans="1:25" x14ac:dyDescent="0.25">
      <c r="A3" s="10">
        <v>4828790</v>
      </c>
      <c r="B3" s="10" t="s">
        <v>40</v>
      </c>
      <c r="C3" s="10" t="s">
        <v>41</v>
      </c>
      <c r="D3" s="10" t="s">
        <v>43</v>
      </c>
      <c r="E3" s="10">
        <v>2009531355</v>
      </c>
      <c r="F3" s="11">
        <v>0</v>
      </c>
      <c r="G3" s="10" t="s">
        <v>37</v>
      </c>
      <c r="H3" s="12" t="s">
        <v>30</v>
      </c>
      <c r="I3" s="12" t="s">
        <v>29</v>
      </c>
      <c r="J3" s="15" t="s">
        <v>47</v>
      </c>
      <c r="K3" s="15" t="s">
        <v>31</v>
      </c>
      <c r="L3" s="13" t="s">
        <v>32</v>
      </c>
      <c r="M3" s="13" t="s">
        <v>32</v>
      </c>
      <c r="N3" s="13">
        <v>0.33333333333333331</v>
      </c>
      <c r="O3" s="13">
        <v>0.70833333333333337</v>
      </c>
      <c r="P3" s="13">
        <v>0.33333333333333331</v>
      </c>
      <c r="Q3" s="13">
        <v>0.70833333333333337</v>
      </c>
      <c r="R3" s="13">
        <v>0.33333333333333331</v>
      </c>
      <c r="S3" s="13">
        <v>0.70833333333333337</v>
      </c>
      <c r="T3" s="13">
        <v>0.33333333333333331</v>
      </c>
      <c r="U3" s="13">
        <v>0.70833333333333337</v>
      </c>
      <c r="V3" s="13">
        <v>0.33333333333333331</v>
      </c>
      <c r="W3" s="13">
        <v>0.70833333333333337</v>
      </c>
      <c r="X3" s="13" t="s">
        <v>32</v>
      </c>
      <c r="Y3" s="13" t="s">
        <v>32</v>
      </c>
    </row>
    <row r="4" spans="1:25" x14ac:dyDescent="0.25">
      <c r="A4" s="10">
        <v>5318031</v>
      </c>
      <c r="B4" s="10" t="s">
        <v>38</v>
      </c>
      <c r="C4" s="10" t="s">
        <v>42</v>
      </c>
      <c r="D4" s="10" t="s">
        <v>44</v>
      </c>
      <c r="E4" s="10">
        <v>2009530092</v>
      </c>
      <c r="F4" s="11">
        <v>0</v>
      </c>
      <c r="G4" s="10" t="s">
        <v>33</v>
      </c>
      <c r="H4" s="12" t="s">
        <v>30</v>
      </c>
      <c r="I4" s="12" t="s">
        <v>29</v>
      </c>
      <c r="J4" s="15" t="s">
        <v>47</v>
      </c>
      <c r="K4" s="15" t="s">
        <v>31</v>
      </c>
      <c r="L4" s="13" t="s">
        <v>32</v>
      </c>
      <c r="M4" s="13" t="s">
        <v>32</v>
      </c>
      <c r="N4" s="13">
        <v>0.41666666666666669</v>
      </c>
      <c r="O4" s="13">
        <v>0.79166666666666663</v>
      </c>
      <c r="P4" s="13">
        <v>0.41666666666666669</v>
      </c>
      <c r="Q4" s="13">
        <v>0.79166666666666663</v>
      </c>
      <c r="R4" s="13">
        <v>0.41666666666666669</v>
      </c>
      <c r="S4" s="13">
        <v>0.79166666666666663</v>
      </c>
      <c r="T4" s="13">
        <v>0.41666666666666669</v>
      </c>
      <c r="U4" s="13">
        <v>0.79166666666666663</v>
      </c>
      <c r="V4" s="13">
        <v>0.41666666666666669</v>
      </c>
      <c r="W4" s="13">
        <v>0.79166666666666663</v>
      </c>
      <c r="X4" s="13" t="s">
        <v>32</v>
      </c>
      <c r="Y4" s="13" t="s">
        <v>32</v>
      </c>
    </row>
    <row r="5" spans="1:25" x14ac:dyDescent="0.25">
      <c r="A5" s="10">
        <v>5278024</v>
      </c>
      <c r="B5" s="10" t="s">
        <v>39</v>
      </c>
      <c r="C5" s="10" t="s">
        <v>45</v>
      </c>
      <c r="D5" s="10" t="s">
        <v>46</v>
      </c>
      <c r="E5" s="10">
        <v>2009530884</v>
      </c>
      <c r="F5" s="11">
        <v>0</v>
      </c>
      <c r="G5" s="10" t="s">
        <v>34</v>
      </c>
      <c r="H5" s="12" t="s">
        <v>30</v>
      </c>
      <c r="I5" s="12" t="s">
        <v>29</v>
      </c>
      <c r="J5" s="15" t="s">
        <v>47</v>
      </c>
      <c r="K5" s="15" t="s">
        <v>31</v>
      </c>
      <c r="L5" s="13" t="s">
        <v>32</v>
      </c>
      <c r="M5" s="13" t="s">
        <v>32</v>
      </c>
      <c r="N5" s="13">
        <v>0.375</v>
      </c>
      <c r="O5" s="13">
        <v>0.75</v>
      </c>
      <c r="P5" s="13">
        <v>0.375</v>
      </c>
      <c r="Q5" s="13">
        <v>0.75</v>
      </c>
      <c r="R5" s="13">
        <v>0.375</v>
      </c>
      <c r="S5" s="13">
        <v>0.75</v>
      </c>
      <c r="T5" s="13">
        <v>0.375</v>
      </c>
      <c r="U5" s="13">
        <v>0.75</v>
      </c>
      <c r="V5" s="13">
        <v>0.375</v>
      </c>
      <c r="W5" s="13">
        <v>0.75</v>
      </c>
      <c r="X5" s="13" t="s">
        <v>32</v>
      </c>
      <c r="Y5" s="13" t="s">
        <v>32</v>
      </c>
    </row>
  </sheetData>
  <mergeCells count="18">
    <mergeCell ref="X1:Y1"/>
    <mergeCell ref="G1:G2"/>
    <mergeCell ref="H1:H2"/>
    <mergeCell ref="I1:I2"/>
    <mergeCell ref="J1:J2"/>
    <mergeCell ref="K1:K2"/>
    <mergeCell ref="L1:M1"/>
    <mergeCell ref="N1:O1"/>
    <mergeCell ref="P1:Q1"/>
    <mergeCell ref="R1:S1"/>
    <mergeCell ref="T1:U1"/>
    <mergeCell ref="V1:W1"/>
    <mergeCell ref="F1:F2"/>
    <mergeCell ref="A1:A2"/>
    <mergeCell ref="B1:B2"/>
    <mergeCell ref="C1:C2"/>
    <mergeCell ref="D1:D2"/>
    <mergeCell ref="E1:E2"/>
  </mergeCells>
  <conditionalFormatting sqref="A1:A2">
    <cfRule type="duplicateValues" dxfId="13" priority="5"/>
    <cfRule type="duplicateValues" dxfId="12" priority="6"/>
    <cfRule type="duplicateValues" dxfId="11" priority="7"/>
  </conditionalFormatting>
  <conditionalFormatting sqref="A3:K5">
    <cfRule type="cellIs" dxfId="10" priority="1" operator="notEqual">
      <formula>""</formula>
    </cfRule>
  </conditionalFormatting>
  <conditionalFormatting sqref="A3:Y5">
    <cfRule type="cellIs" dxfId="9" priority="4" operator="equal">
      <formula>""</formula>
    </cfRule>
  </conditionalFormatting>
  <conditionalFormatting sqref="L3:Y5">
    <cfRule type="cellIs" dxfId="8" priority="2" operator="equal">
      <formula>"OFF"</formula>
    </cfRule>
    <cfRule type="expression" dxfId="7" priority="3">
      <formula>IF(AND(L3&lt;&gt;"",L3&gt;=0),TRUE,FALSE)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8D5C-1E85-47F6-9D9E-F3B1EC8996F7}">
  <dimension ref="A1:L51"/>
  <sheetViews>
    <sheetView showGridLines="0" topLeftCell="A30" zoomScale="90" zoomScaleNormal="90" workbookViewId="0">
      <selection activeCell="B2" sqref="B2:B49"/>
    </sheetView>
  </sheetViews>
  <sheetFormatPr defaultRowHeight="15" x14ac:dyDescent="0.25"/>
  <cols>
    <col min="1" max="1" width="11.140625" style="1" bestFit="1" customWidth="1"/>
    <col min="2" max="2" width="27" style="1" bestFit="1" customWidth="1"/>
    <col min="3" max="3" width="22.140625" style="1" customWidth="1"/>
    <col min="4" max="4" width="11.85546875" style="1" hidden="1" customWidth="1"/>
    <col min="5" max="5" width="12.140625" style="1" customWidth="1"/>
    <col min="6" max="6" width="26.7109375" style="1" bestFit="1" customWidth="1"/>
    <col min="7" max="7" width="29" style="1" bestFit="1" customWidth="1"/>
    <col min="11" max="11" width="24" bestFit="1" customWidth="1"/>
    <col min="12" max="12" width="20" bestFit="1" customWidth="1"/>
  </cols>
  <sheetData>
    <row r="1" spans="1:12" x14ac:dyDescent="0.25">
      <c r="A1" s="7" t="s">
        <v>0</v>
      </c>
      <c r="B1" s="7" t="s">
        <v>20</v>
      </c>
      <c r="C1" s="7" t="s">
        <v>21</v>
      </c>
      <c r="D1" s="9" t="s">
        <v>22</v>
      </c>
      <c r="E1" s="8" t="s">
        <v>23</v>
      </c>
      <c r="F1" s="8" t="s">
        <v>24</v>
      </c>
      <c r="G1" s="8" t="s">
        <v>25</v>
      </c>
    </row>
    <row r="2" spans="1:12" x14ac:dyDescent="0.25">
      <c r="A2" s="1">
        <f>EDB!A3</f>
        <v>5268201</v>
      </c>
      <c r="B2" s="1" t="str">
        <f>INDEX(F:F,MATCH(Table2[[#This Row],[CCMS]],E:E,0))</f>
        <v>Feliz Diaz, Jordy R</v>
      </c>
      <c r="C2" s="1" t="str">
        <f>INDEX(G:G,MATCH(Table2[[#This Row],[CCMS]],E:E,0))</f>
        <v>Quezada, Alfredo</v>
      </c>
      <c r="D2" s="1" t="e">
        <f>INDEX(#REF!,MATCH(Table2[[#This Row],[CCMS]],E:E,0))</f>
        <v>#REF!</v>
      </c>
      <c r="E2" s="1">
        <v>5621073</v>
      </c>
      <c r="F2" s="1" t="s">
        <v>36</v>
      </c>
      <c r="G2" s="1" t="s">
        <v>37</v>
      </c>
    </row>
    <row r="3" spans="1:12" x14ac:dyDescent="0.25">
      <c r="A3" s="1">
        <f>EDB!A4</f>
        <v>4968570</v>
      </c>
      <c r="B3" s="1" t="str">
        <f>INDEX(F:F,MATCH(Table2[[#This Row],[CCMS]],E:E,0))</f>
        <v>Feliz Diaz, Jordy R</v>
      </c>
      <c r="C3" s="1" t="str">
        <f>INDEX(G:G,MATCH(Table2[[#This Row],[CCMS]],E:E,0))</f>
        <v>Quezada, Alfredo</v>
      </c>
      <c r="D3" s="1" t="e">
        <f>INDEX(#REF!,MATCH(Table2[[#This Row],[CCMS]],E:E,0))</f>
        <v>#REF!</v>
      </c>
      <c r="E3" s="1">
        <v>6210804</v>
      </c>
      <c r="F3" s="1" t="s">
        <v>36</v>
      </c>
      <c r="G3" s="1" t="s">
        <v>37</v>
      </c>
    </row>
    <row r="4" spans="1:12" x14ac:dyDescent="0.25">
      <c r="A4" s="1">
        <f>EDB!A5</f>
        <v>5301084</v>
      </c>
      <c r="B4" s="1" t="str">
        <f>INDEX(F:F,MATCH(Table2[[#This Row],[CCMS]],E:E,0))</f>
        <v>Baez Parra, Wanda</v>
      </c>
      <c r="C4" s="1" t="str">
        <f>INDEX(G:G,MATCH(Table2[[#This Row],[CCMS]],E:E,0))</f>
        <v>Quezada, Alfredo</v>
      </c>
      <c r="D4" s="1" t="e">
        <f>INDEX(#REF!,MATCH(Table2[[#This Row],[CCMS]],E:E,0))</f>
        <v>#REF!</v>
      </c>
      <c r="E4" s="1">
        <v>5638529</v>
      </c>
      <c r="F4" s="1" t="s">
        <v>36</v>
      </c>
      <c r="G4" s="1" t="s">
        <v>37</v>
      </c>
    </row>
    <row r="5" spans="1:12" x14ac:dyDescent="0.25">
      <c r="A5" s="1">
        <f>EDB!A6</f>
        <v>5306249</v>
      </c>
      <c r="B5" s="1" t="str">
        <f>INDEX(F:F,MATCH(Table2[[#This Row],[CCMS]],E:E,0))</f>
        <v>Quinones Melo, Juan</v>
      </c>
      <c r="C5" s="1" t="str">
        <f>INDEX(G:G,MATCH(Table2[[#This Row],[CCMS]],E:E,0))</f>
        <v>Quezada, Alfredo</v>
      </c>
      <c r="D5" s="1" t="e">
        <f>INDEX(#REF!,MATCH(Table2[[#This Row],[CCMS]],E:E,0))</f>
        <v>#REF!</v>
      </c>
      <c r="E5" s="1">
        <v>6210805</v>
      </c>
      <c r="F5" s="1" t="s">
        <v>35</v>
      </c>
      <c r="G5" s="1" t="s">
        <v>37</v>
      </c>
      <c r="K5" s="16"/>
      <c r="L5" s="15"/>
    </row>
    <row r="6" spans="1:12" x14ac:dyDescent="0.25">
      <c r="A6" s="1">
        <f>EDB!A7</f>
        <v>5031839</v>
      </c>
      <c r="B6" s="1" t="str">
        <f>INDEX(F:F,MATCH(Table2[[#This Row],[CCMS]],E:E,0))</f>
        <v>Quinones Melo, Juan</v>
      </c>
      <c r="C6" s="1" t="str">
        <f>INDEX(G:G,MATCH(Table2[[#This Row],[CCMS]],E:E,0))</f>
        <v>Quezada, Alfredo</v>
      </c>
      <c r="D6" s="1" t="e">
        <f>INDEX(#REF!,MATCH(Table2[[#This Row],[CCMS]],E:E,0))</f>
        <v>#REF!</v>
      </c>
      <c r="E6" s="1">
        <v>6168271</v>
      </c>
      <c r="F6" s="1" t="s">
        <v>36</v>
      </c>
      <c r="G6" s="1" t="s">
        <v>37</v>
      </c>
    </row>
    <row r="7" spans="1:12" x14ac:dyDescent="0.25">
      <c r="A7" s="1">
        <f>EDB!A8</f>
        <v>4728904</v>
      </c>
      <c r="B7" s="1" t="str">
        <f>INDEX(F:F,MATCH(Table2[[#This Row],[CCMS]],E:E,0))</f>
        <v>Quinones Melo, Juan</v>
      </c>
      <c r="C7" s="1" t="str">
        <f>INDEX(G:G,MATCH(Table2[[#This Row],[CCMS]],E:E,0))</f>
        <v>Quezada, Alfredo</v>
      </c>
      <c r="D7" s="1" t="e">
        <f>INDEX(#REF!,MATCH(Table2[[#This Row],[CCMS]],E:E,0))</f>
        <v>#REF!</v>
      </c>
      <c r="E7" s="1">
        <v>5613524</v>
      </c>
      <c r="F7" s="1" t="s">
        <v>36</v>
      </c>
      <c r="G7" s="1" t="s">
        <v>37</v>
      </c>
    </row>
    <row r="8" spans="1:12" x14ac:dyDescent="0.25">
      <c r="A8" s="1">
        <f>EDB!A9</f>
        <v>5146060</v>
      </c>
      <c r="B8" s="1" t="str">
        <f>INDEX(F:F,MATCH(Table2[[#This Row],[CCMS]],E:E,0))</f>
        <v>Feliz Diaz, Jordy R</v>
      </c>
      <c r="C8" s="1" t="str">
        <f>INDEX(G:G,MATCH(Table2[[#This Row],[CCMS]],E:E,0))</f>
        <v>Quezada, Alfredo</v>
      </c>
      <c r="D8" s="1" t="e">
        <f>INDEX(#REF!,MATCH(Table2[[#This Row],[CCMS]],E:E,0))</f>
        <v>#REF!</v>
      </c>
      <c r="E8" s="1">
        <v>5301084</v>
      </c>
      <c r="F8" s="1" t="s">
        <v>36</v>
      </c>
      <c r="G8" s="1" t="s">
        <v>37</v>
      </c>
    </row>
    <row r="9" spans="1:12" x14ac:dyDescent="0.25">
      <c r="A9" s="1">
        <f>EDB!A10</f>
        <v>5207891</v>
      </c>
      <c r="B9" s="1" t="str">
        <f>INDEX(F:F,MATCH(Table2[[#This Row],[CCMS]],E:E,0))</f>
        <v>Feliz Diaz, Jordy R</v>
      </c>
      <c r="C9" s="1" t="str">
        <f>INDEX(G:G,MATCH(Table2[[#This Row],[CCMS]],E:E,0))</f>
        <v>Quezada, Alfredo</v>
      </c>
      <c r="D9" s="1" t="e">
        <f>INDEX(#REF!,MATCH(Table2[[#This Row],[CCMS]],E:E,0))</f>
        <v>#REF!</v>
      </c>
      <c r="E9" s="1">
        <v>5632947</v>
      </c>
      <c r="F9" s="1" t="s">
        <v>36</v>
      </c>
      <c r="G9" s="1" t="s">
        <v>37</v>
      </c>
    </row>
    <row r="10" spans="1:12" x14ac:dyDescent="0.25">
      <c r="A10" s="1">
        <f>EDB!A11</f>
        <v>5272864</v>
      </c>
      <c r="B10" s="1" t="str">
        <f>INDEX(F:F,MATCH(Table2[[#This Row],[CCMS]],E:E,0))</f>
        <v>Baez Parra, Wanda</v>
      </c>
      <c r="C10" s="1" t="str">
        <f>INDEX(G:G,MATCH(Table2[[#This Row],[CCMS]],E:E,0))</f>
        <v>Quezada, Alfredo</v>
      </c>
      <c r="D10" s="1" t="e">
        <f>INDEX(#REF!,MATCH(Table2[[#This Row],[CCMS]],E:E,0))</f>
        <v>#REF!</v>
      </c>
      <c r="E10" s="1">
        <v>5270086</v>
      </c>
      <c r="F10" s="1" t="s">
        <v>36</v>
      </c>
      <c r="G10" s="1" t="s">
        <v>37</v>
      </c>
    </row>
    <row r="11" spans="1:12" x14ac:dyDescent="0.25">
      <c r="A11" s="1">
        <f>EDB!A12</f>
        <v>5169971</v>
      </c>
      <c r="B11" s="1" t="str">
        <f>INDEX(F:F,MATCH(Table2[[#This Row],[CCMS]],E:E,0))</f>
        <v>Quinones Melo, Juan</v>
      </c>
      <c r="C11" s="1" t="str">
        <f>INDEX(G:G,MATCH(Table2[[#This Row],[CCMS]],E:E,0))</f>
        <v>Quezada, Alfredo</v>
      </c>
      <c r="D11" s="1" t="e">
        <f>INDEX(#REF!,MATCH(Table2[[#This Row],[CCMS]],E:E,0))</f>
        <v>#REF!</v>
      </c>
      <c r="E11" s="1">
        <v>6168242</v>
      </c>
      <c r="F11" s="1" t="s">
        <v>36</v>
      </c>
      <c r="G11" s="1" t="s">
        <v>37</v>
      </c>
    </row>
    <row r="12" spans="1:12" x14ac:dyDescent="0.25">
      <c r="A12" s="1">
        <f>EDB!A13</f>
        <v>5638529</v>
      </c>
      <c r="B12" s="1" t="str">
        <f>INDEX(F:F,MATCH(Table2[[#This Row],[CCMS]],E:E,0))</f>
        <v>Baez Parra, Wanda</v>
      </c>
      <c r="C12" s="1" t="str">
        <f>INDEX(G:G,MATCH(Table2[[#This Row],[CCMS]],E:E,0))</f>
        <v>Quezada, Alfredo</v>
      </c>
      <c r="D12" s="1" t="e">
        <f>INDEX(#REF!,MATCH(Table2[[#This Row],[CCMS]],E:E,0))</f>
        <v>#REF!</v>
      </c>
      <c r="E12" s="1">
        <v>6168253</v>
      </c>
      <c r="F12" s="1" t="s">
        <v>36</v>
      </c>
      <c r="G12" s="1" t="s">
        <v>37</v>
      </c>
    </row>
    <row r="13" spans="1:12" x14ac:dyDescent="0.25">
      <c r="A13" s="1">
        <f>EDB!A14</f>
        <v>5621073</v>
      </c>
      <c r="B13" s="1" t="str">
        <f>INDEX(F:F,MATCH(Table2[[#This Row],[CCMS]],E:E,0))</f>
        <v>Baez Parra, Wanda</v>
      </c>
      <c r="C13" s="1" t="str">
        <f>INDEX(G:G,MATCH(Table2[[#This Row],[CCMS]],E:E,0))</f>
        <v>Quezada, Alfredo</v>
      </c>
      <c r="D13" s="1" t="e">
        <f>INDEX(#REF!,MATCH(Table2[[#This Row],[CCMS]],E:E,0))</f>
        <v>#REF!</v>
      </c>
      <c r="E13" s="1">
        <v>5272864</v>
      </c>
      <c r="F13" s="1" t="s">
        <v>36</v>
      </c>
      <c r="G13" s="1" t="s">
        <v>37</v>
      </c>
    </row>
    <row r="14" spans="1:12" x14ac:dyDescent="0.25">
      <c r="A14" s="1">
        <f>EDB!A15</f>
        <v>5270083</v>
      </c>
      <c r="B14" s="1" t="str">
        <f>INDEX(F:F,MATCH(Table2[[#This Row],[CCMS]],E:E,0))</f>
        <v>Quinones Melo, Juan</v>
      </c>
      <c r="C14" s="1" t="str">
        <f>INDEX(G:G,MATCH(Table2[[#This Row],[CCMS]],E:E,0))</f>
        <v>Quezada, Alfredo</v>
      </c>
      <c r="D14" s="1" t="e">
        <f>INDEX(#REF!,MATCH(Table2[[#This Row],[CCMS]],E:E,0))</f>
        <v>#REF!</v>
      </c>
      <c r="E14" s="1">
        <v>6210816</v>
      </c>
      <c r="F14" s="1" t="s">
        <v>36</v>
      </c>
      <c r="G14" s="1" t="s">
        <v>37</v>
      </c>
    </row>
    <row r="15" spans="1:12" x14ac:dyDescent="0.25">
      <c r="A15" s="1">
        <f>EDB!A16</f>
        <v>5691560</v>
      </c>
      <c r="B15" s="1" t="str">
        <f>INDEX(F:F,MATCH(Table2[[#This Row],[CCMS]],E:E,0))</f>
        <v>Feliz Diaz, Jordy R</v>
      </c>
      <c r="C15" s="1" t="str">
        <f>INDEX(G:G,MATCH(Table2[[#This Row],[CCMS]],E:E,0))</f>
        <v>Quezada, Alfredo</v>
      </c>
      <c r="D15" s="1" t="e">
        <f>INDEX(#REF!,MATCH(Table2[[#This Row],[CCMS]],E:E,0))</f>
        <v>#REF!</v>
      </c>
      <c r="E15" s="1">
        <v>6210817</v>
      </c>
      <c r="F15" s="1" t="s">
        <v>36</v>
      </c>
      <c r="G15" s="1" t="s">
        <v>37</v>
      </c>
    </row>
    <row r="16" spans="1:12" x14ac:dyDescent="0.25">
      <c r="A16" s="1">
        <f>EDB!A17</f>
        <v>5691556</v>
      </c>
      <c r="B16" s="1" t="str">
        <f>INDEX(F:F,MATCH(Table2[[#This Row],[CCMS]],E:E,0))</f>
        <v>Quinones Melo, Juan</v>
      </c>
      <c r="C16" s="1" t="str">
        <f>INDEX(G:G,MATCH(Table2[[#This Row],[CCMS]],E:E,0))</f>
        <v>Quezada, Alfredo</v>
      </c>
      <c r="D16" s="1" t="e">
        <f>INDEX(#REF!,MATCH(Table2[[#This Row],[CCMS]],E:E,0))</f>
        <v>#REF!</v>
      </c>
      <c r="E16" s="1">
        <v>6001392</v>
      </c>
      <c r="F16" s="1" t="s">
        <v>35</v>
      </c>
      <c r="G16" s="1" t="s">
        <v>37</v>
      </c>
    </row>
    <row r="17" spans="1:7" x14ac:dyDescent="0.25">
      <c r="A17" s="1">
        <f>EDB!A18</f>
        <v>5318603</v>
      </c>
      <c r="B17" s="1" t="str">
        <f>INDEX(F:F,MATCH(Table2[[#This Row],[CCMS]],E:E,0))</f>
        <v>Feliz Diaz, Jordy R</v>
      </c>
      <c r="C17" s="1" t="str">
        <f>INDEX(G:G,MATCH(Table2[[#This Row],[CCMS]],E:E,0))</f>
        <v>Quezada, Alfredo</v>
      </c>
      <c r="D17" s="1" t="e">
        <f>INDEX(#REF!,MATCH(Table2[[#This Row],[CCMS]],E:E,0))</f>
        <v>#REF!</v>
      </c>
      <c r="E17" s="1">
        <v>5842851</v>
      </c>
      <c r="F17" s="1" t="s">
        <v>35</v>
      </c>
      <c r="G17" s="1" t="s">
        <v>37</v>
      </c>
    </row>
    <row r="18" spans="1:7" x14ac:dyDescent="0.25">
      <c r="A18" s="1">
        <f>EDB!A19</f>
        <v>5314877</v>
      </c>
      <c r="B18" s="1" t="str">
        <f>INDEX(F:F,MATCH(Table2[[#This Row],[CCMS]],E:E,0))</f>
        <v>Feliz Diaz, Jordy R</v>
      </c>
      <c r="C18" s="1" t="str">
        <f>INDEX(G:G,MATCH(Table2[[#This Row],[CCMS]],E:E,0))</f>
        <v>Quezada, Alfredo</v>
      </c>
      <c r="D18" s="1" t="e">
        <f>INDEX(#REF!,MATCH(Table2[[#This Row],[CCMS]],E:E,0))</f>
        <v>#REF!</v>
      </c>
      <c r="E18" s="1">
        <v>5207891</v>
      </c>
      <c r="F18" s="1" t="s">
        <v>35</v>
      </c>
      <c r="G18" s="1" t="s">
        <v>37</v>
      </c>
    </row>
    <row r="19" spans="1:7" x14ac:dyDescent="0.25">
      <c r="A19" s="1">
        <f>EDB!A20</f>
        <v>5527739</v>
      </c>
      <c r="B19" s="1" t="str">
        <f>INDEX(F:F,MATCH(Table2[[#This Row],[CCMS]],E:E,0))</f>
        <v>Quinones Melo, Juan</v>
      </c>
      <c r="C19" s="1" t="str">
        <f>INDEX(G:G,MATCH(Table2[[#This Row],[CCMS]],E:E,0))</f>
        <v>Quezada, Alfredo</v>
      </c>
      <c r="D19" s="1" t="e">
        <f>INDEX(#REF!,MATCH(Table2[[#This Row],[CCMS]],E:E,0))</f>
        <v>#REF!</v>
      </c>
      <c r="E19" s="1">
        <v>6168102</v>
      </c>
      <c r="F19" s="1" t="s">
        <v>35</v>
      </c>
      <c r="G19" s="1" t="s">
        <v>37</v>
      </c>
    </row>
    <row r="20" spans="1:7" x14ac:dyDescent="0.25">
      <c r="A20" s="1">
        <f>EDB!A21</f>
        <v>5874439</v>
      </c>
      <c r="B20" s="1" t="str">
        <f>INDEX(F:F,MATCH(Table2[[#This Row],[CCMS]],E:E,0))</f>
        <v>Quinones Melo, Juan</v>
      </c>
      <c r="C20" s="1" t="str">
        <f>INDEX(G:G,MATCH(Table2[[#This Row],[CCMS]],E:E,0))</f>
        <v>Quezada, Alfredo</v>
      </c>
      <c r="D20" s="1" t="e">
        <f>INDEX(#REF!,MATCH(Table2[[#This Row],[CCMS]],E:E,0))</f>
        <v>#REF!</v>
      </c>
      <c r="E20" s="1">
        <v>5031839</v>
      </c>
      <c r="F20" s="1" t="s">
        <v>192</v>
      </c>
      <c r="G20" s="1" t="s">
        <v>37</v>
      </c>
    </row>
    <row r="21" spans="1:7" x14ac:dyDescent="0.25">
      <c r="A21" s="1">
        <f>EDB!A22</f>
        <v>5329714</v>
      </c>
      <c r="B21" s="1" t="str">
        <f>INDEX(F:F,MATCH(Table2[[#This Row],[CCMS]],E:E,0))</f>
        <v>Feliz Diaz, Jordy R</v>
      </c>
      <c r="C21" s="1" t="str">
        <f>INDEX(G:G,MATCH(Table2[[#This Row],[CCMS]],E:E,0))</f>
        <v>Quezada, Alfredo</v>
      </c>
      <c r="D21" s="1" t="e">
        <f>INDEX(#REF!,MATCH(Table2[[#This Row],[CCMS]],E:E,0))</f>
        <v>#REF!</v>
      </c>
      <c r="E21" s="1">
        <v>5329714</v>
      </c>
      <c r="F21" s="1" t="s">
        <v>35</v>
      </c>
      <c r="G21" s="1" t="s">
        <v>37</v>
      </c>
    </row>
    <row r="22" spans="1:7" x14ac:dyDescent="0.25">
      <c r="A22" s="1">
        <f>EDB!A23</f>
        <v>5613524</v>
      </c>
      <c r="B22" s="1" t="str">
        <f>INDEX(F:F,MATCH(Table2[[#This Row],[CCMS]],E:E,0))</f>
        <v>Baez Parra, Wanda</v>
      </c>
      <c r="C22" s="1" t="str">
        <f>INDEX(G:G,MATCH(Table2[[#This Row],[CCMS]],E:E,0))</f>
        <v>Quezada, Alfredo</v>
      </c>
      <c r="D22" s="1" t="e">
        <f>INDEX(#REF!,MATCH(Table2[[#This Row],[CCMS]],E:E,0))</f>
        <v>#REF!</v>
      </c>
      <c r="E22" s="1">
        <v>5146060</v>
      </c>
      <c r="F22" s="1" t="s">
        <v>35</v>
      </c>
      <c r="G22" s="1" t="s">
        <v>37</v>
      </c>
    </row>
    <row r="23" spans="1:7" x14ac:dyDescent="0.25">
      <c r="A23" s="1">
        <f>EDB!A24</f>
        <v>6001392</v>
      </c>
      <c r="B23" s="1" t="str">
        <f>INDEX(F:F,MATCH(Table2[[#This Row],[CCMS]],E:E,0))</f>
        <v>Feliz Diaz, Jordy R</v>
      </c>
      <c r="C23" s="1" t="str">
        <f>INDEX(G:G,MATCH(Table2[[#This Row],[CCMS]],E:E,0))</f>
        <v>Quezada, Alfredo</v>
      </c>
      <c r="D23" s="1" t="e">
        <f>INDEX(#REF!,MATCH(Table2[[#This Row],[CCMS]],E:E,0))</f>
        <v>#REF!</v>
      </c>
      <c r="E23" s="1">
        <v>5314877</v>
      </c>
      <c r="F23" s="1" t="s">
        <v>35</v>
      </c>
      <c r="G23" s="1" t="s">
        <v>37</v>
      </c>
    </row>
    <row r="24" spans="1:7" x14ac:dyDescent="0.25">
      <c r="A24" s="1">
        <f>EDB!A25</f>
        <v>5842851</v>
      </c>
      <c r="B24" s="1" t="str">
        <f>INDEX(F:F,MATCH(Table2[[#This Row],[CCMS]],E:E,0))</f>
        <v>Feliz Diaz, Jordy R</v>
      </c>
      <c r="C24" s="1" t="str">
        <f>INDEX(G:G,MATCH(Table2[[#This Row],[CCMS]],E:E,0))</f>
        <v>Quezada, Alfredo</v>
      </c>
      <c r="D24" s="1" t="e">
        <f>INDEX(#REF!,MATCH(Table2[[#This Row],[CCMS]],E:E,0))</f>
        <v>#REF!</v>
      </c>
      <c r="E24" s="1">
        <v>5160543</v>
      </c>
      <c r="F24" s="1" t="s">
        <v>35</v>
      </c>
      <c r="G24" s="1" t="s">
        <v>37</v>
      </c>
    </row>
    <row r="25" spans="1:7" x14ac:dyDescent="0.25">
      <c r="A25" s="1">
        <f>EDB!A26</f>
        <v>5632947</v>
      </c>
      <c r="B25" s="1" t="str">
        <f>INDEX(F:F,MATCH(Table2[[#This Row],[CCMS]],E:E,0))</f>
        <v>Baez Parra, Wanda</v>
      </c>
      <c r="C25" s="1" t="str">
        <f>INDEX(G:G,MATCH(Table2[[#This Row],[CCMS]],E:E,0))</f>
        <v>Quezada, Alfredo</v>
      </c>
      <c r="D25" s="1" t="e">
        <f>INDEX(#REF!,MATCH(Table2[[#This Row],[CCMS]],E:E,0))</f>
        <v>#REF!</v>
      </c>
      <c r="E25" s="1">
        <v>6166689</v>
      </c>
      <c r="F25" s="1" t="s">
        <v>35</v>
      </c>
      <c r="G25" s="1" t="s">
        <v>37</v>
      </c>
    </row>
    <row r="26" spans="1:7" x14ac:dyDescent="0.25">
      <c r="A26" s="1">
        <f>EDB!A27</f>
        <v>6166689</v>
      </c>
      <c r="B26" s="1" t="str">
        <f>INDEX(F:F,MATCH(Table2[[#This Row],[CCMS]],E:E,0))</f>
        <v>Feliz Diaz, Jordy R</v>
      </c>
      <c r="C26" s="1" t="str">
        <f>INDEX(G:G,MATCH(Table2[[#This Row],[CCMS]],E:E,0))</f>
        <v>Quezada, Alfredo</v>
      </c>
      <c r="D26" s="1" t="e">
        <f>INDEX(#REF!,MATCH(Table2[[#This Row],[CCMS]],E:E,0))</f>
        <v>#REF!</v>
      </c>
      <c r="E26" s="1">
        <v>5160547</v>
      </c>
      <c r="F26" s="1" t="s">
        <v>35</v>
      </c>
      <c r="G26" s="1" t="s">
        <v>37</v>
      </c>
    </row>
    <row r="27" spans="1:7" x14ac:dyDescent="0.25">
      <c r="A27" s="1">
        <f>EDB!A28</f>
        <v>6168102</v>
      </c>
      <c r="B27" s="1" t="str">
        <f>INDEX(F:F,MATCH(Table2[[#This Row],[CCMS]],E:E,0))</f>
        <v>Feliz Diaz, Jordy R</v>
      </c>
      <c r="C27" s="1" t="str">
        <f>INDEX(G:G,MATCH(Table2[[#This Row],[CCMS]],E:E,0))</f>
        <v>Quezada, Alfredo</v>
      </c>
      <c r="D27" s="1" t="e">
        <f>INDEX(#REF!,MATCH(Table2[[#This Row],[CCMS]],E:E,0))</f>
        <v>#REF!</v>
      </c>
      <c r="E27" s="1">
        <v>5691560</v>
      </c>
      <c r="F27" s="1" t="s">
        <v>35</v>
      </c>
      <c r="G27" s="1" t="s">
        <v>37</v>
      </c>
    </row>
    <row r="28" spans="1:7" x14ac:dyDescent="0.25">
      <c r="A28" s="1">
        <f>EDB!A29</f>
        <v>6168242</v>
      </c>
      <c r="B28" s="1" t="str">
        <f>INDEX(F:F,MATCH(Table2[[#This Row],[CCMS]],E:E,0))</f>
        <v>Baez Parra, Wanda</v>
      </c>
      <c r="C28" s="1" t="str">
        <f>INDEX(G:G,MATCH(Table2[[#This Row],[CCMS]],E:E,0))</f>
        <v>Quezada, Alfredo</v>
      </c>
      <c r="D28" s="1" t="e">
        <f>INDEX(#REF!,MATCH(Table2[[#This Row],[CCMS]],E:E,0))</f>
        <v>#REF!</v>
      </c>
      <c r="E28" s="1">
        <v>4968570</v>
      </c>
      <c r="F28" s="1" t="s">
        <v>35</v>
      </c>
      <c r="G28" s="1" t="s">
        <v>37</v>
      </c>
    </row>
    <row r="29" spans="1:7" x14ac:dyDescent="0.25">
      <c r="A29" s="1">
        <f>EDB!A30</f>
        <v>6168253</v>
      </c>
      <c r="B29" s="1" t="str">
        <f>INDEX(F:F,MATCH(Table2[[#This Row],[CCMS]],E:E,0))</f>
        <v>Baez Parra, Wanda</v>
      </c>
      <c r="C29" s="1" t="str">
        <f>INDEX(G:G,MATCH(Table2[[#This Row],[CCMS]],E:E,0))</f>
        <v>Quezada, Alfredo</v>
      </c>
      <c r="D29" s="1" t="e">
        <f>INDEX(#REF!,MATCH(Table2[[#This Row],[CCMS]],E:E,0))</f>
        <v>#REF!</v>
      </c>
      <c r="E29" s="1">
        <v>5268201</v>
      </c>
      <c r="F29" s="1" t="s">
        <v>35</v>
      </c>
      <c r="G29" s="1" t="s">
        <v>37</v>
      </c>
    </row>
    <row r="30" spans="1:7" x14ac:dyDescent="0.25">
      <c r="A30" s="1">
        <f>EDB!A31</f>
        <v>6168271</v>
      </c>
      <c r="B30" s="1" t="str">
        <f>INDEX(F:F,MATCH(Table2[[#This Row],[CCMS]],E:E,0))</f>
        <v>Baez Parra, Wanda</v>
      </c>
      <c r="C30" s="1" t="str">
        <f>INDEX(G:G,MATCH(Table2[[#This Row],[CCMS]],E:E,0))</f>
        <v>Quezada, Alfredo</v>
      </c>
      <c r="D30" s="1" t="e">
        <f>INDEX(#REF!,MATCH(Table2[[#This Row],[CCMS]],E:E,0))</f>
        <v>#REF!</v>
      </c>
      <c r="E30" s="1">
        <v>4743755</v>
      </c>
      <c r="F30" s="1" t="s">
        <v>192</v>
      </c>
      <c r="G30" s="1" t="s">
        <v>37</v>
      </c>
    </row>
    <row r="31" spans="1:7" x14ac:dyDescent="0.25">
      <c r="A31" s="1">
        <f>EDB!A32</f>
        <v>6210804</v>
      </c>
      <c r="B31" s="1" t="str">
        <f>INDEX(F:F,MATCH(Table2[[#This Row],[CCMS]],E:E,0))</f>
        <v>Baez Parra, Wanda</v>
      </c>
      <c r="C31" s="1" t="str">
        <f>INDEX(G:G,MATCH(Table2[[#This Row],[CCMS]],E:E,0))</f>
        <v>Quezada, Alfredo</v>
      </c>
      <c r="D31" s="1" t="e">
        <f>INDEX(#REF!,MATCH(Table2[[#This Row],[CCMS]],E:E,0))</f>
        <v>#REF!</v>
      </c>
      <c r="E31" s="1">
        <v>5874439</v>
      </c>
      <c r="F31" s="1" t="s">
        <v>192</v>
      </c>
      <c r="G31" s="1" t="s">
        <v>37</v>
      </c>
    </row>
    <row r="32" spans="1:7" x14ac:dyDescent="0.25">
      <c r="A32" s="1">
        <f>EDB!A33</f>
        <v>6210805</v>
      </c>
      <c r="B32" s="1" t="str">
        <f>INDEX(F:F,MATCH(Table2[[#This Row],[CCMS]],E:E,0))</f>
        <v>Feliz Diaz, Jordy R</v>
      </c>
      <c r="C32" s="1" t="str">
        <f>INDEX(G:G,MATCH(Table2[[#This Row],[CCMS]],E:E,0))</f>
        <v>Quezada, Alfredo</v>
      </c>
      <c r="D32" s="1" t="e">
        <f>INDEX(#REF!,MATCH(Table2[[#This Row],[CCMS]],E:E,0))</f>
        <v>#REF!</v>
      </c>
      <c r="E32" s="1">
        <v>5691556</v>
      </c>
      <c r="F32" s="1" t="s">
        <v>192</v>
      </c>
      <c r="G32" s="1" t="s">
        <v>37</v>
      </c>
    </row>
    <row r="33" spans="1:7" x14ac:dyDescent="0.25">
      <c r="A33" s="1">
        <f>EDB!A34</f>
        <v>6210816</v>
      </c>
      <c r="B33" s="1" t="str">
        <f>INDEX(F:F,MATCH(Table2[[#This Row],[CCMS]],E:E,0))</f>
        <v>Baez Parra, Wanda</v>
      </c>
      <c r="C33" s="1" t="str">
        <f>INDEX(G:G,MATCH(Table2[[#This Row],[CCMS]],E:E,0))</f>
        <v>Quezada, Alfredo</v>
      </c>
      <c r="D33" s="1" t="e">
        <f>INDEX(#REF!,MATCH(Table2[[#This Row],[CCMS]],E:E,0))</f>
        <v>#REF!</v>
      </c>
      <c r="E33" s="1">
        <v>5169971</v>
      </c>
      <c r="F33" s="1" t="s">
        <v>192</v>
      </c>
      <c r="G33" s="1" t="s">
        <v>37</v>
      </c>
    </row>
    <row r="34" spans="1:7" x14ac:dyDescent="0.25">
      <c r="A34" s="1">
        <f>EDB!A35</f>
        <v>6210817</v>
      </c>
      <c r="B34" s="1" t="str">
        <f>INDEX(F:F,MATCH(Table2[[#This Row],[CCMS]],E:E,0))</f>
        <v>Baez Parra, Wanda</v>
      </c>
      <c r="C34" s="1" t="str">
        <f>INDEX(G:G,MATCH(Table2[[#This Row],[CCMS]],E:E,0))</f>
        <v>Quezada, Alfredo</v>
      </c>
      <c r="D34" s="1" t="e">
        <f>INDEX(#REF!,MATCH(Table2[[#This Row],[CCMS]],E:E,0))</f>
        <v>#REF!</v>
      </c>
      <c r="E34" s="1">
        <v>5306249</v>
      </c>
      <c r="F34" s="1" t="s">
        <v>192</v>
      </c>
      <c r="G34" s="1" t="s">
        <v>37</v>
      </c>
    </row>
    <row r="35" spans="1:7" x14ac:dyDescent="0.25">
      <c r="A35" s="1">
        <f>EDB!A36</f>
        <v>4804998</v>
      </c>
      <c r="B35" s="1" t="str">
        <f>INDEX(F:F,MATCH(Table2[[#This Row],[CCMS]],E:E,0))</f>
        <v>Feliz Diaz, Jordy R</v>
      </c>
      <c r="C35" s="1" t="str">
        <f>INDEX(G:G,MATCH(Table2[[#This Row],[CCMS]],E:E,0))</f>
        <v>Quezada, Alfredo</v>
      </c>
      <c r="D35" s="1" t="e">
        <f>INDEX(#REF!,MATCH(Table2[[#This Row],[CCMS]],E:E,0))</f>
        <v>#REF!</v>
      </c>
      <c r="E35" s="1">
        <v>5605728</v>
      </c>
      <c r="F35" s="1" t="s">
        <v>192</v>
      </c>
      <c r="G35" s="1" t="s">
        <v>37</v>
      </c>
    </row>
    <row r="36" spans="1:7" x14ac:dyDescent="0.25">
      <c r="A36" s="1">
        <f>EDB!A37</f>
        <v>5160547</v>
      </c>
      <c r="B36" s="1" t="str">
        <f>INDEX(F:F,MATCH(Table2[[#This Row],[CCMS]],E:E,0))</f>
        <v>Feliz Diaz, Jordy R</v>
      </c>
      <c r="C36" s="1" t="str">
        <f>INDEX(G:G,MATCH(Table2[[#This Row],[CCMS]],E:E,0))</f>
        <v>Quezada, Alfredo</v>
      </c>
      <c r="D36" s="1" t="e">
        <f>INDEX(#REF!,MATCH(Table2[[#This Row],[CCMS]],E:E,0))</f>
        <v>#REF!</v>
      </c>
      <c r="E36" s="1">
        <v>5270083</v>
      </c>
      <c r="F36" s="1" t="s">
        <v>192</v>
      </c>
      <c r="G36" s="1" t="s">
        <v>37</v>
      </c>
    </row>
    <row r="37" spans="1:7" x14ac:dyDescent="0.25">
      <c r="A37" s="1">
        <f>EDB!A38</f>
        <v>5160543</v>
      </c>
      <c r="B37" s="1" t="str">
        <f>INDEX(F:F,MATCH(Table2[[#This Row],[CCMS]],E:E,0))</f>
        <v>Feliz Diaz, Jordy R</v>
      </c>
      <c r="C37" s="1" t="str">
        <f>INDEX(G:G,MATCH(Table2[[#This Row],[CCMS]],E:E,0))</f>
        <v>Quezada, Alfredo</v>
      </c>
      <c r="D37" s="1" t="e">
        <f>INDEX(#REF!,MATCH(Table2[[#This Row],[CCMS]],E:E,0))</f>
        <v>#REF!</v>
      </c>
      <c r="E37" s="1">
        <v>4804998</v>
      </c>
      <c r="F37" s="1" t="s">
        <v>35</v>
      </c>
      <c r="G37" s="1" t="s">
        <v>37</v>
      </c>
    </row>
    <row r="38" spans="1:7" x14ac:dyDescent="0.25">
      <c r="A38" s="1">
        <f>EDB!A39</f>
        <v>4743755</v>
      </c>
      <c r="B38" s="1" t="str">
        <f>INDEX(F:F,MATCH(Table2[[#This Row],[CCMS]],E:E,0))</f>
        <v>Quinones Melo, Juan</v>
      </c>
      <c r="C38" s="1" t="str">
        <f>INDEX(G:G,MATCH(Table2[[#This Row],[CCMS]],E:E,0))</f>
        <v>Quezada, Alfredo</v>
      </c>
      <c r="D38" s="1" t="e">
        <f>INDEX(#REF!,MATCH(Table2[[#This Row],[CCMS]],E:E,0))</f>
        <v>#REF!</v>
      </c>
      <c r="E38" s="1">
        <v>5318603</v>
      </c>
      <c r="F38" s="1" t="s">
        <v>35</v>
      </c>
      <c r="G38" s="1" t="s">
        <v>37</v>
      </c>
    </row>
    <row r="39" spans="1:7" x14ac:dyDescent="0.25">
      <c r="A39" s="1">
        <f>EDB!A40</f>
        <v>6509285</v>
      </c>
      <c r="B39" s="1" t="str">
        <f>INDEX(F:F,MATCH(Table2[[#This Row],[CCMS]],E:E,0))</f>
        <v>Feliz Diaz, Jordy R</v>
      </c>
      <c r="C39" s="1" t="str">
        <f>INDEX(G:G,MATCH(Table2[[#This Row],[CCMS]],E:E,0))</f>
        <v>Quezada, Alfredo</v>
      </c>
      <c r="D39" s="1" t="e">
        <f>INDEX(#REF!,MATCH(Table2[[#This Row],[CCMS]],E:E,0))</f>
        <v>#REF!</v>
      </c>
      <c r="E39" s="1">
        <v>4728904</v>
      </c>
      <c r="F39" s="1" t="s">
        <v>192</v>
      </c>
      <c r="G39" s="1" t="s">
        <v>37</v>
      </c>
    </row>
    <row r="40" spans="1:7" x14ac:dyDescent="0.25">
      <c r="A40" s="1">
        <f>EDB!A41</f>
        <v>6513519</v>
      </c>
      <c r="B40" s="1" t="str">
        <f>INDEX(F:F,MATCH(Table2[[#This Row],[CCMS]],E:E,0))</f>
        <v>Feliz Diaz, Jordy R</v>
      </c>
      <c r="C40" s="1" t="str">
        <f>INDEX(G:G,MATCH(Table2[[#This Row],[CCMS]],E:E,0))</f>
        <v>Quezada, Alfredo</v>
      </c>
      <c r="D40" s="1" t="e">
        <f>INDEX(#REF!,MATCH(Table2[[#This Row],[CCMS]],E:E,0))</f>
        <v>#REF!</v>
      </c>
      <c r="E40" s="1">
        <v>5527739</v>
      </c>
      <c r="F40" s="1" t="s">
        <v>192</v>
      </c>
      <c r="G40" s="1" t="s">
        <v>37</v>
      </c>
    </row>
    <row r="41" spans="1:7" x14ac:dyDescent="0.25">
      <c r="A41" s="1">
        <f>EDB!A42</f>
        <v>5091033</v>
      </c>
      <c r="B41" s="1" t="str">
        <f>INDEX(F:F,MATCH(Table2[[#This Row],[CCMS]],E:E,0))</f>
        <v>Feliz Diaz, Jordy R</v>
      </c>
      <c r="C41" s="1" t="str">
        <f>INDEX(G:G,MATCH(Table2[[#This Row],[CCMS]],E:E,0))</f>
        <v>Quezada, Alfredo</v>
      </c>
      <c r="D41" s="27" t="e">
        <f>INDEX(#REF!,MATCH(Table2[[#This Row],[CCMS]],E:E,0))</f>
        <v>#REF!</v>
      </c>
      <c r="E41" s="1">
        <v>6509285</v>
      </c>
      <c r="F41" s="1" t="s">
        <v>35</v>
      </c>
      <c r="G41" s="1" t="s">
        <v>37</v>
      </c>
    </row>
    <row r="42" spans="1:7" x14ac:dyDescent="0.25">
      <c r="A42" s="1">
        <f>EDB!A43</f>
        <v>6511345</v>
      </c>
      <c r="B42" s="1" t="str">
        <f>INDEX(F:F,MATCH(Table2[[#This Row],[CCMS]],E:E,0))</f>
        <v>Feliz Diaz, Jordy R</v>
      </c>
      <c r="C42" s="1" t="str">
        <f>INDEX(G:G,MATCH(Table2[[#This Row],[CCMS]],E:E,0))</f>
        <v>Quezada, Alfredo</v>
      </c>
      <c r="D42" s="27" t="e">
        <f>INDEX(#REF!,MATCH(Table2[[#This Row],[CCMS]],E:E,0))</f>
        <v>#REF!</v>
      </c>
      <c r="E42" s="1">
        <v>6513519</v>
      </c>
      <c r="F42" s="1" t="s">
        <v>35</v>
      </c>
      <c r="G42" s="1" t="s">
        <v>37</v>
      </c>
    </row>
    <row r="43" spans="1:7" x14ac:dyDescent="0.25">
      <c r="A43" s="1">
        <f>EDB!A44</f>
        <v>6511279</v>
      </c>
      <c r="B43" s="1" t="str">
        <f>INDEX(F:F,MATCH(Table2[[#This Row],[CCMS]],E:E,0))</f>
        <v>Feliz Diaz, Jordy R</v>
      </c>
      <c r="C43" s="1" t="str">
        <f>INDEX(G:G,MATCH(Table2[[#This Row],[CCMS]],E:E,0))</f>
        <v>Quezada, Alfredo</v>
      </c>
      <c r="D43" s="27" t="e">
        <f>INDEX(#REF!,MATCH(Table2[[#This Row],[CCMS]],E:E,0))</f>
        <v>#REF!</v>
      </c>
      <c r="E43" s="1">
        <v>5091033</v>
      </c>
      <c r="F43" s="1" t="s">
        <v>35</v>
      </c>
      <c r="G43" s="1" t="s">
        <v>37</v>
      </c>
    </row>
    <row r="44" spans="1:7" x14ac:dyDescent="0.25">
      <c r="A44" s="1">
        <f>EDB!A45</f>
        <v>5682324</v>
      </c>
      <c r="B44" s="1" t="str">
        <f>INDEX(F:F,MATCH(Table2[[#This Row],[CCMS]],E:E,0))</f>
        <v>Feliz Diaz, Jordy R</v>
      </c>
      <c r="C44" s="1" t="str">
        <f>INDEX(G:G,MATCH(Table2[[#This Row],[CCMS]],E:E,0))</f>
        <v>Quezada, Alfredo</v>
      </c>
      <c r="D44" s="27" t="e">
        <f>INDEX(#REF!,MATCH(Table2[[#This Row],[CCMS]],E:E,0))</f>
        <v>#REF!</v>
      </c>
      <c r="E44" s="1">
        <v>6511345</v>
      </c>
      <c r="F44" s="1" t="s">
        <v>35</v>
      </c>
      <c r="G44" s="1" t="s">
        <v>37</v>
      </c>
    </row>
    <row r="45" spans="1:7" x14ac:dyDescent="0.25">
      <c r="A45" s="1">
        <f>EDB!A46</f>
        <v>4282011</v>
      </c>
      <c r="B45" s="1" t="str">
        <f>INDEX(F:F,MATCH(Table2[[#This Row],[CCMS]],E:E,0))</f>
        <v>Feliz Diaz, Jordy R</v>
      </c>
      <c r="C45" s="1" t="str">
        <f>INDEX(G:G,MATCH(Table2[[#This Row],[CCMS]],E:E,0))</f>
        <v>Quezada, Alfredo</v>
      </c>
      <c r="D45" s="27" t="e">
        <f>INDEX(#REF!,MATCH(Table2[[#This Row],[CCMS]],E:E,0))</f>
        <v>#REF!</v>
      </c>
      <c r="E45" s="1">
        <v>6511279</v>
      </c>
      <c r="F45" s="1" t="s">
        <v>35</v>
      </c>
      <c r="G45" s="1" t="s">
        <v>37</v>
      </c>
    </row>
    <row r="46" spans="1:7" x14ac:dyDescent="0.25">
      <c r="A46" s="1">
        <f>EDB!A47</f>
        <v>6511605</v>
      </c>
      <c r="B46" s="1" t="str">
        <f>INDEX(F:F,MATCH(Table2[[#This Row],[CCMS]],E:E,0))</f>
        <v>Feliz Diaz, Jordy R</v>
      </c>
      <c r="C46" s="1" t="str">
        <f>INDEX(G:G,MATCH(Table2[[#This Row],[CCMS]],E:E,0))</f>
        <v>Quezada, Alfredo</v>
      </c>
      <c r="D46" s="27" t="e">
        <f>INDEX(#REF!,MATCH(Table2[[#This Row],[CCMS]],E:E,0))</f>
        <v>#REF!</v>
      </c>
      <c r="E46" s="1">
        <v>5682324</v>
      </c>
      <c r="F46" s="1" t="s">
        <v>35</v>
      </c>
      <c r="G46" s="1" t="s">
        <v>37</v>
      </c>
    </row>
    <row r="47" spans="1:7" x14ac:dyDescent="0.25">
      <c r="A47" s="1">
        <f>EDB!A48</f>
        <v>6511609</v>
      </c>
      <c r="B47" s="1" t="str">
        <f>INDEX(F:F,MATCH(Table2[[#This Row],[CCMS]],E:E,0))</f>
        <v>Feliz Diaz, Jordy R</v>
      </c>
      <c r="C47" s="1" t="str">
        <f>INDEX(G:G,MATCH(Table2[[#This Row],[CCMS]],E:E,0))</f>
        <v>Quezada, Alfredo</v>
      </c>
      <c r="D47" s="27" t="e">
        <f>INDEX(#REF!,MATCH(Table2[[#This Row],[CCMS]],E:E,0))</f>
        <v>#REF!</v>
      </c>
      <c r="E47" s="1">
        <v>4282011</v>
      </c>
      <c r="F47" s="1" t="s">
        <v>35</v>
      </c>
      <c r="G47" s="1" t="s">
        <v>37</v>
      </c>
    </row>
    <row r="48" spans="1:7" x14ac:dyDescent="0.25">
      <c r="A48" s="1">
        <f>EDB!A49</f>
        <v>6509287</v>
      </c>
      <c r="B48" s="1" t="str">
        <f>INDEX(F:F,MATCH(Table2[[#This Row],[CCMS]],E:E,0))</f>
        <v>Feliz Diaz, Jordy R</v>
      </c>
      <c r="C48" s="1" t="str">
        <f>INDEX(G:G,MATCH(Table2[[#This Row],[CCMS]],E:E,0))</f>
        <v>Quezada, Alfredo</v>
      </c>
      <c r="D48" s="27" t="e">
        <f>INDEX(#REF!,MATCH(Table2[[#This Row],[CCMS]],E:E,0))</f>
        <v>#REF!</v>
      </c>
      <c r="E48" s="1">
        <v>6511605</v>
      </c>
      <c r="F48" s="1" t="s">
        <v>35</v>
      </c>
      <c r="G48" s="1" t="s">
        <v>37</v>
      </c>
    </row>
    <row r="49" spans="1:7" x14ac:dyDescent="0.25">
      <c r="A49" s="1">
        <f>EDB!A50</f>
        <v>6511512</v>
      </c>
      <c r="B49" s="1" t="str">
        <f>INDEX(F:F,MATCH(Table2[[#This Row],[CCMS]],E:E,0))</f>
        <v>Feliz Diaz, Jordy R</v>
      </c>
      <c r="C49" s="1" t="str">
        <f>INDEX(G:G,MATCH(Table2[[#This Row],[CCMS]],E:E,0))</f>
        <v>Quezada, Alfredo</v>
      </c>
      <c r="D49" s="27" t="e">
        <f>INDEX(#REF!,MATCH(Table2[[#This Row],[CCMS]],E:E,0))</f>
        <v>#REF!</v>
      </c>
      <c r="E49" s="1">
        <v>6511609</v>
      </c>
      <c r="F49" s="1" t="s">
        <v>35</v>
      </c>
      <c r="G49" s="1" t="s">
        <v>37</v>
      </c>
    </row>
    <row r="50" spans="1:7" hidden="1" x14ac:dyDescent="0.25">
      <c r="A50" s="1">
        <f>EDB!A51</f>
        <v>0</v>
      </c>
      <c r="B50" s="1" t="e">
        <f>INDEX(F:F,MATCH(Table2[[#This Row],[CCMS]],E:E,0))</f>
        <v>#N/A</v>
      </c>
      <c r="C50" s="1" t="e">
        <f>INDEX(G:G,MATCH(Table2[[#This Row],[CCMS]],E:E,0))</f>
        <v>#N/A</v>
      </c>
      <c r="D50" s="27" t="e">
        <f>INDEX(#REF!,MATCH(Table2[[#This Row],[CCMS]],E:E,0))</f>
        <v>#REF!</v>
      </c>
      <c r="E50" s="1">
        <v>6509287</v>
      </c>
      <c r="F50" s="1" t="s">
        <v>35</v>
      </c>
      <c r="G50" s="1" t="s">
        <v>37</v>
      </c>
    </row>
    <row r="51" spans="1:7" hidden="1" x14ac:dyDescent="0.25">
      <c r="A51" s="1">
        <f>EDB!A52</f>
        <v>0</v>
      </c>
      <c r="B51" s="1" t="e">
        <f>INDEX(F:F,MATCH(Table2[[#This Row],[CCMS]],E:E,0))</f>
        <v>#N/A</v>
      </c>
      <c r="C51" s="1" t="e">
        <f>INDEX(G:G,MATCH(Table2[[#This Row],[CCMS]],E:E,0))</f>
        <v>#N/A</v>
      </c>
      <c r="D51" s="27" t="e">
        <f>INDEX(#REF!,MATCH(Table2[[#This Row],[CCMS]],E:E,0))</f>
        <v>#REF!</v>
      </c>
      <c r="E51" s="1">
        <v>6511512</v>
      </c>
      <c r="F51" s="1" t="s">
        <v>35</v>
      </c>
      <c r="G51" s="1" t="s">
        <v>37</v>
      </c>
    </row>
  </sheetData>
  <phoneticPr fontId="5" type="noConversion"/>
  <conditionalFormatting sqref="K5:L5">
    <cfRule type="cellIs" dxfId="6" priority="1" operator="notEqual">
      <formula>""</formula>
    </cfRule>
    <cfRule type="cellIs" dxfId="5" priority="2" operator="equal">
      <formula>""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EDB</vt:lpstr>
      <vt:lpstr>EDB SUPS</vt:lpstr>
      <vt:lpstr>OPS Ditros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 De Jesus Luna</dc:creator>
  <cp:lastModifiedBy>Cristopher Feliz Asencio</cp:lastModifiedBy>
  <dcterms:created xsi:type="dcterms:W3CDTF">2017-12-12T00:59:22Z</dcterms:created>
  <dcterms:modified xsi:type="dcterms:W3CDTF">2026-10-09T17:57:52Z</dcterms:modified>
</cp:coreProperties>
</file>